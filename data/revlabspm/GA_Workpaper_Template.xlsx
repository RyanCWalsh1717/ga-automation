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greatlandpartnerscom.sharepoint.com/sites/GreatlandPartners/Shared Documents/Portfolio/Revolution Labs/10 - Finance/Claude/January Data/"/>
    </mc:Choice>
  </mc:AlternateContent>
  <xr:revisionPtr revIDLastSave="0" documentId="8_{50918038-529E-4CF9-9273-7E67BF05D80C}" xr6:coauthVersionLast="47" xr6:coauthVersionMax="47" xr10:uidLastSave="{00000000-0000-0000-0000-000000000000}"/>
  <bookViews>
    <workbookView xWindow="-28920" yWindow="-15" windowWidth="29040" windowHeight="15720" xr2:uid="{00000000-000D-0000-FFFF-FFFF00000000}"/>
  </bookViews>
  <sheets>
    <sheet name="Summary Page" sheetId="39" r:id="rId1"/>
    <sheet name="111100 PNC Cash" sheetId="1" r:id="rId2"/>
    <sheet name="111210 Cash - Development - Bof" sheetId="2" r:id="rId3"/>
    <sheet name="115100 DACA" sheetId="3" r:id="rId4"/>
    <sheet name="115200 RET Escrow" sheetId="4" r:id="rId5"/>
    <sheet name="115300 Insurance Escrow" sheetId="5" r:id="rId6"/>
    <sheet name="115600 Loan Reserve" sheetId="6" r:id="rId7"/>
    <sheet name="131100 AR Aging" sheetId="7" r:id="rId8"/>
    <sheet name="133100 Accounts Receivable - Ot" sheetId="8" r:id="rId9"/>
    <sheet name="133110 AR Billback" sheetId="9" r:id="rId10"/>
    <sheet name="RE Tax Analysis" sheetId="35" r:id="rId11"/>
    <sheet name="Insurance Analysis" sheetId="36" r:id="rId12"/>
    <sheet name="Loan Analysis" sheetId="37" r:id="rId13"/>
    <sheet name="135150 PPD Other" sheetId="10" r:id="rId14"/>
    <sheet name="141100 Due From-(To) Related Pa" sheetId="11" r:id="rId15"/>
    <sheet name="152100 Land" sheetId="12" r:id="rId16"/>
    <sheet name="154100 Building" sheetId="13" r:id="rId17"/>
    <sheet name="154500 Building Improvements" sheetId="14" r:id="rId18"/>
    <sheet name="181200 Leasing Commissions" sheetId="15" r:id="rId19"/>
    <sheet name="181300 Legal Leasing Costs" sheetId="16" r:id="rId20"/>
    <sheet name="181400 Tenant Improvement" sheetId="17" r:id="rId21"/>
    <sheet name="187100 Finance Costs" sheetId="18" r:id="rId22"/>
    <sheet name="211100 Accounts Payable - Contr" sheetId="19" r:id="rId23"/>
    <sheet name="211300 Accounts Payable - Other" sheetId="20" r:id="rId24"/>
    <sheet name="213100 Accr Exp" sheetId="21" r:id="rId25"/>
    <sheet name="217200 Security Deposit - Other" sheetId="23" r:id="rId26"/>
    <sheet name="221100 Prepaid Rent - Tenant" sheetId="24" r:id="rId27"/>
    <sheet name="311100 Contributions-Partner A" sheetId="26" r:id="rId28"/>
    <sheet name="331100 Distributions - A" sheetId="27" r:id="rId29"/>
    <sheet name="381100 Retained Earnings - C" sheetId="28" r:id="rId30"/>
    <sheet name="Trial Balance" sheetId="38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0" i="35" l="1"/>
  <c r="E111" i="35" s="1"/>
  <c r="D110" i="35"/>
  <c r="D109" i="35"/>
  <c r="E109" i="35"/>
  <c r="J14" i="36"/>
  <c r="I14" i="36"/>
  <c r="K14" i="36"/>
  <c r="K13" i="36"/>
  <c r="J13" i="36"/>
  <c r="I13" i="36"/>
  <c r="K12" i="36"/>
  <c r="J12" i="36"/>
  <c r="I12" i="36"/>
  <c r="G10" i="36"/>
  <c r="H10" i="36" s="1"/>
  <c r="K10" i="36" s="1"/>
  <c r="G9" i="36"/>
  <c r="H9" i="36" s="1"/>
  <c r="K9" i="36" s="1"/>
  <c r="G8" i="36"/>
  <c r="H8" i="36" s="1"/>
  <c r="K8" i="36" s="1"/>
  <c r="G7" i="36"/>
  <c r="H7" i="36" s="1"/>
  <c r="K7" i="36" s="1"/>
  <c r="G102" i="37"/>
  <c r="F102" i="37"/>
  <c r="E102" i="37"/>
  <c r="G101" i="37"/>
  <c r="G103" i="37" s="1"/>
  <c r="F101" i="37"/>
  <c r="F103" i="37" s="1"/>
  <c r="E101" i="37"/>
  <c r="E103" i="37" s="1"/>
  <c r="F15" i="21"/>
  <c r="F16" i="21"/>
  <c r="J10" i="10"/>
  <c r="K10" i="10" s="1"/>
  <c r="L10" i="10" s="1"/>
  <c r="L17" i="10"/>
  <c r="J14" i="10"/>
  <c r="K14" i="10" s="1"/>
  <c r="L14" i="10" s="1"/>
  <c r="J6" i="10"/>
  <c r="K6" i="10" s="1"/>
  <c r="J7" i="10"/>
  <c r="K7" i="10" s="1"/>
  <c r="L7" i="10" s="1"/>
  <c r="J8" i="10"/>
  <c r="K8" i="10" s="1"/>
  <c r="L8" i="10" s="1"/>
  <c r="J9" i="10"/>
  <c r="K9" i="10" s="1"/>
  <c r="J11" i="10"/>
  <c r="K11" i="10" s="1"/>
  <c r="J12" i="10"/>
  <c r="K12" i="10" s="1"/>
  <c r="J13" i="10"/>
  <c r="K13" i="10" s="1"/>
  <c r="F6" i="28"/>
  <c r="F8" i="28" s="1"/>
  <c r="F17" i="27"/>
  <c r="F16" i="27"/>
  <c r="F15" i="27"/>
  <c r="F7" i="27"/>
  <c r="F8" i="27"/>
  <c r="F9" i="27"/>
  <c r="F10" i="27"/>
  <c r="F11" i="27"/>
  <c r="F12" i="27"/>
  <c r="F13" i="27"/>
  <c r="F6" i="27"/>
  <c r="F6" i="26"/>
  <c r="F8" i="26" s="1"/>
  <c r="F10" i="26" s="1"/>
  <c r="F9" i="26"/>
  <c r="F9" i="23"/>
  <c r="F8" i="23"/>
  <c r="F6" i="23"/>
  <c r="E9" i="20"/>
  <c r="E10" i="20" s="1"/>
  <c r="E8" i="20"/>
  <c r="F13" i="18"/>
  <c r="F12" i="18"/>
  <c r="F13" i="17"/>
  <c r="F12" i="17"/>
  <c r="F10" i="17"/>
  <c r="F9" i="17"/>
  <c r="F8" i="17"/>
  <c r="F7" i="17"/>
  <c r="F6" i="17"/>
  <c r="F14" i="16"/>
  <c r="F13" i="16"/>
  <c r="F10" i="16"/>
  <c r="F9" i="16"/>
  <c r="F8" i="16"/>
  <c r="F7" i="16"/>
  <c r="F6" i="16"/>
  <c r="F15" i="15"/>
  <c r="F14" i="15"/>
  <c r="F13" i="15"/>
  <c r="F7" i="15"/>
  <c r="F8" i="15"/>
  <c r="F9" i="15"/>
  <c r="F10" i="15"/>
  <c r="F11" i="15"/>
  <c r="F6" i="15"/>
  <c r="F12" i="14"/>
  <c r="F11" i="13"/>
  <c r="F11" i="14"/>
  <c r="F9" i="14"/>
  <c r="F8" i="14"/>
  <c r="F7" i="14"/>
  <c r="F6" i="14"/>
  <c r="F7" i="13"/>
  <c r="F8" i="13"/>
  <c r="F6" i="13"/>
  <c r="F9" i="12"/>
  <c r="F6" i="12"/>
  <c r="F8" i="12" s="1"/>
  <c r="F10" i="12" s="1"/>
  <c r="E8" i="12"/>
  <c r="D8" i="12"/>
  <c r="F7" i="11"/>
  <c r="F6" i="11"/>
  <c r="E8" i="11"/>
  <c r="D8" i="11"/>
  <c r="F9" i="11"/>
  <c r="F8" i="11"/>
  <c r="E16" i="9"/>
  <c r="E15" i="9"/>
  <c r="E9" i="8"/>
  <c r="E10" i="8" s="1"/>
  <c r="E8" i="8"/>
  <c r="D38" i="4"/>
  <c r="D39" i="4" s="1"/>
  <c r="D37" i="4"/>
  <c r="D31" i="5"/>
  <c r="D30" i="5"/>
  <c r="D29" i="5"/>
  <c r="D20" i="6"/>
  <c r="D21" i="6"/>
  <c r="D22" i="6"/>
  <c r="D111" i="35" l="1"/>
  <c r="I9" i="36"/>
  <c r="I7" i="36"/>
  <c r="I10" i="36"/>
  <c r="J8" i="36"/>
  <c r="F17" i="21"/>
  <c r="L6" i="10"/>
  <c r="F10" i="23"/>
  <c r="F14" i="17"/>
  <c r="F12" i="16"/>
  <c r="F10" i="13"/>
  <c r="E17" i="9"/>
  <c r="F10" i="11"/>
  <c r="L9" i="10" l="1"/>
  <c r="L11" i="10"/>
  <c r="L12" i="10" l="1"/>
  <c r="L13" i="10"/>
  <c r="L16" i="10" l="1"/>
  <c r="L18" i="10" s="1"/>
  <c r="F12" i="13" l="1"/>
</calcChain>
</file>

<file path=xl/sharedStrings.xml><?xml version="1.0" encoding="utf-8"?>
<sst xmlns="http://schemas.openxmlformats.org/spreadsheetml/2006/main" count="1714" uniqueCount="818">
  <si>
    <t>revlabs  |  Period: Jan-2026  |  Prepared: 05/12/2026</t>
  </si>
  <si>
    <t>Date</t>
  </si>
  <si>
    <t>Description</t>
  </si>
  <si>
    <t>Balance Forward</t>
  </si>
  <si>
    <t>01.02 Sweep</t>
  </si>
  <si>
    <t>01.05 Sweep</t>
  </si>
  <si>
    <t>Apex Computers, Inc.</t>
  </si>
  <si>
    <t>Greatland Realty Partners LLC</t>
  </si>
  <si>
    <t>Jones Lang LaSalle Americas Inc</t>
  </si>
  <si>
    <t>01/07/2026</t>
  </si>
  <si>
    <t>01.07 Sweep</t>
  </si>
  <si>
    <t>01.07.26 Mortgage Wire</t>
  </si>
  <si>
    <t>Balance Per Bank Statement as of 1/25/2026</t>
  </si>
  <si>
    <t>Reconciled Bank Balance</t>
  </si>
  <si>
    <t>Difference</t>
  </si>
  <si>
    <t>Outstanding Checks</t>
  </si>
  <si>
    <t>Payee</t>
  </si>
  <si>
    <t>Amount</t>
  </si>
  <si>
    <t>v0000663 - MacCormack Plumbing Inc.</t>
  </si>
  <si>
    <t>v0000716 - Weston Ground Lessee LLC</t>
  </si>
  <si>
    <t>v0000029 - Comcast</t>
  </si>
  <si>
    <t>v0000114 - SX BUSINESS SERVICES INC</t>
  </si>
  <si>
    <t>v0000324 - NATIONAL GRID</t>
  </si>
  <si>
    <t>v0000630 - Prudential Overall Supply</t>
  </si>
  <si>
    <t>v0000206 - DURKIN CO. INC.</t>
  </si>
  <si>
    <t>v0000298 - CADWELL DESIGN &amp; SIGN</t>
  </si>
  <si>
    <t>v0000301 - CINTAS</t>
  </si>
  <si>
    <t>v0000445 - Northeastern Mechanical Inc</t>
  </si>
  <si>
    <t>v0000447 - Nalco Company LLC</t>
  </si>
  <si>
    <t>v0000456 - J &amp; M Brown Company</t>
  </si>
  <si>
    <t>v0000457 - Power Products Systems LLC</t>
  </si>
  <si>
    <t>v0000546 - TransAction Associates Inc</t>
  </si>
  <si>
    <t>v0000708 - Hudson Energy Services LLC</t>
  </si>
  <si>
    <t>v0000718 - Servus LLC</t>
  </si>
  <si>
    <t>Ending Balance per GL</t>
  </si>
  <si>
    <t>Ending Balance per TB</t>
  </si>
  <si>
    <t>Variance</t>
  </si>
  <si>
    <t>revlabs  |  Period: Jan-2026  |  Prepared by: Ryan Walsh  |  05/12/2026</t>
  </si>
  <si>
    <t>111210</t>
  </si>
  <si>
    <t>Keros Therapeutics Inc</t>
  </si>
  <si>
    <t>Orum Therapeutics</t>
  </si>
  <si>
    <t>Accent Therapeutics, Inc</t>
  </si>
  <si>
    <t>Santi Therapeutics Inc</t>
  </si>
  <si>
    <t>03/25/2024</t>
  </si>
  <si>
    <t>RET Escrow - Per statement due 4.10.24</t>
  </si>
  <si>
    <t>Revlabs</t>
  </si>
  <si>
    <t>05/24/2024</t>
  </si>
  <si>
    <t>RET Escrow - Per statement due 5.10.24</t>
  </si>
  <si>
    <t>06/25/2024</t>
  </si>
  <si>
    <t>RET Escrow - Per statement due 6.10.24</t>
  </si>
  <si>
    <t>07/25/2024</t>
  </si>
  <si>
    <t>RET Escrow - Per statement due 7.10.24</t>
  </si>
  <si>
    <t>RET ESCROW Payment 8.1.24-2024</t>
  </si>
  <si>
    <t>08/25/2024</t>
  </si>
  <si>
    <t>RET Escrow - Per statement due 8.10.24</t>
  </si>
  <si>
    <t>09/09/2024</t>
  </si>
  <si>
    <t>RET Escrow - Per statement due 09.09.24</t>
  </si>
  <si>
    <t>10/07/2024</t>
  </si>
  <si>
    <t>RET Escrow - Per statement due 10.07.24</t>
  </si>
  <si>
    <t>10/17/2024</t>
  </si>
  <si>
    <t>RET ESCROW Payment 10.1.24-2024</t>
  </si>
  <si>
    <t>11/07/2024</t>
  </si>
  <si>
    <t>RET Escrow - Per statement due 11.07.24</t>
  </si>
  <si>
    <t>12/09/2024</t>
  </si>
  <si>
    <t>RET Escrow - Per statement due 12.09.24</t>
  </si>
  <si>
    <t>01/07/2025</t>
  </si>
  <si>
    <t>RET Escrow - Per statement due 01.07.25</t>
  </si>
  <si>
    <t>01/16/2025</t>
  </si>
  <si>
    <t>RET ESCROW Payment 01.1.25-Q3-2025</t>
  </si>
  <si>
    <t>02/07/2025</t>
  </si>
  <si>
    <t>RET Escrow - Per statement due 02.07.25</t>
  </si>
  <si>
    <t>03/07/2025</t>
  </si>
  <si>
    <t>RET Escrow - Per statement due 03.07.25</t>
  </si>
  <si>
    <t>04/07/2025</t>
  </si>
  <si>
    <t>RET Escrow - Per statement due 04.07.25</t>
  </si>
  <si>
    <t>04/16/2025</t>
  </si>
  <si>
    <t>RET ESCROW Payment 01.1.25-Q4-2025</t>
  </si>
  <si>
    <t>05/09/2025</t>
  </si>
  <si>
    <t>RET Escrow - Per statement due 05.09.25</t>
  </si>
  <si>
    <t>06/09/2025</t>
  </si>
  <si>
    <t>RET Escrow - Per statement due 06.09.25</t>
  </si>
  <si>
    <t>07/09/2025</t>
  </si>
  <si>
    <t>RET Escrow - Per statement due 07.09.25</t>
  </si>
  <si>
    <t>07/17/2025</t>
  </si>
  <si>
    <t>RET ESCROW Payment 01.1.25-Q1-2025</t>
  </si>
  <si>
    <t>08/07/2025</t>
  </si>
  <si>
    <t>RET Escrow - Per statement due 08.07.25</t>
  </si>
  <si>
    <t>09/08/2025</t>
  </si>
  <si>
    <t>RET Escrow - Per statement due 09.07.25</t>
  </si>
  <si>
    <t>10/07/2025</t>
  </si>
  <si>
    <t>RET Escrow - Per statement due 10.07.25</t>
  </si>
  <si>
    <t>10/17/2025</t>
  </si>
  <si>
    <t>RET ESCROW Payment 10.1.25-Q2-2025</t>
  </si>
  <si>
    <t>11/07/2025</t>
  </si>
  <si>
    <t>RET Escrow - Per statement due 11.07.25</t>
  </si>
  <si>
    <t>12/08/2025</t>
  </si>
  <si>
    <t>RET Escrow - Per statement due 12.08.25</t>
  </si>
  <si>
    <t>01/16/2026</t>
  </si>
  <si>
    <t>04/25/2024</t>
  </si>
  <si>
    <t>Property Insurance per 4.10.24 stmt due</t>
  </si>
  <si>
    <t>05/25/2024</t>
  </si>
  <si>
    <t>Property Insurance per 5.10.24 stmt due</t>
  </si>
  <si>
    <t>Property Insurance per 6.10.24 stmt due</t>
  </si>
  <si>
    <t>Property Insurance per 7.10.24 stmt due</t>
  </si>
  <si>
    <t>Property Insurance per 8.10.24 stmt due</t>
  </si>
  <si>
    <t>Property Insurance per 9.09.24 stmt due</t>
  </si>
  <si>
    <t>Property Insurance per 10.07.24 stmt due</t>
  </si>
  <si>
    <t>Property Insurance per 11.07.24 stmt due</t>
  </si>
  <si>
    <t>Property Insurance per 12.09.24 stmt due</t>
  </si>
  <si>
    <t>Property Insurance per 01.07.25 stmt due</t>
  </si>
  <si>
    <t>Property Insurance per 02.07.25 stmt due</t>
  </si>
  <si>
    <t>Property Insurance per 03.07.25 stmt due</t>
  </si>
  <si>
    <t>Property Insurance per 04.07.25 stmt due</t>
  </si>
  <si>
    <t>Property Insurance per 05.09.25 stmt due</t>
  </si>
  <si>
    <t>Property Insurance per 06.09.25 stmt due</t>
  </si>
  <si>
    <t>07/07/2025</t>
  </si>
  <si>
    <t>Property Insurance per 07.09.25 stmt due</t>
  </si>
  <si>
    <t>Property Insurance per 08.09.25 stmt due</t>
  </si>
  <si>
    <t>08/15/2025</t>
  </si>
  <si>
    <t>Property Insurance transfer to revlab owner Operator</t>
  </si>
  <si>
    <t>Property Insurance per 09.08.25 stmt due</t>
  </si>
  <si>
    <t>Property Insurance per 10.08.25 stmt due</t>
  </si>
  <si>
    <t>Property Insurance per 11.08.25 stmt due</t>
  </si>
  <si>
    <t>03/25/2025</t>
  </si>
  <si>
    <t>Rcd: Alchemab Lease Settlement Payment</t>
  </si>
  <si>
    <t>Rcd: 2/25 - 3/25 Interest Income</t>
  </si>
  <si>
    <t>04/25/2025</t>
  </si>
  <si>
    <t>Rcd: 04/25 Interest Income</t>
  </si>
  <si>
    <t>05/25/2025</t>
  </si>
  <si>
    <t>Rcd: 05/25 Interest Income</t>
  </si>
  <si>
    <t>06/25/2025</t>
  </si>
  <si>
    <t>Rcd: 06/25 Interest Income</t>
  </si>
  <si>
    <t>07/25/2025</t>
  </si>
  <si>
    <t>Rcd: 07/25 Interest Income</t>
  </si>
  <si>
    <t>08/25/2025</t>
  </si>
  <si>
    <t>Rcd: 08/25 Interest Income</t>
  </si>
  <si>
    <t>09/25/2025</t>
  </si>
  <si>
    <t>Rcd: 09/25 Interest Income</t>
  </si>
  <si>
    <t>10/25/2025</t>
  </si>
  <si>
    <t>Rcd: 10/25 Interest Income</t>
  </si>
  <si>
    <t>11/25/2025</t>
  </si>
  <si>
    <t>Rcd: 11/25 Interest Income</t>
  </si>
  <si>
    <t>12/25/2025</t>
  </si>
  <si>
    <t>Rcd: 12/25 Interest Income</t>
  </si>
  <si>
    <t>01/25/2026</t>
  </si>
  <si>
    <t>Rcd: 01/26 Interest Income</t>
  </si>
  <si>
    <t>Charge</t>
  </si>
  <si>
    <t>Tran #</t>
  </si>
  <si>
    <t>Current</t>
  </si>
  <si>
    <t>0-30</t>
  </si>
  <si>
    <t>31-60</t>
  </si>
  <si>
    <t>61-90</t>
  </si>
  <si>
    <t>Total</t>
  </si>
  <si>
    <t>ELECT</t>
  </si>
  <si>
    <t>C-8760</t>
  </si>
  <si>
    <t>C-8761</t>
  </si>
  <si>
    <t>UTILI</t>
  </si>
  <si>
    <t>C-8764</t>
  </si>
  <si>
    <t>C-8758</t>
  </si>
  <si>
    <t>C-8759</t>
  </si>
  <si>
    <t>C-8765</t>
  </si>
  <si>
    <t>C-8766</t>
  </si>
  <si>
    <t>C-8762</t>
  </si>
  <si>
    <t>C-8763</t>
  </si>
  <si>
    <t>C-8767</t>
  </si>
  <si>
    <t>C-8757</t>
  </si>
  <si>
    <t>C-8768</t>
  </si>
  <si>
    <t>Aging Detail</t>
  </si>
  <si>
    <t xml:space="preserve">DB Caption: testgl 04/10/2026   Property: revlabpm    Status: Current, Past, Future   Age As Of: 01/31/2026  Post To: 01/2026  </t>
  </si>
  <si>
    <t>Property</t>
  </si>
  <si>
    <t>Customer</t>
  </si>
  <si>
    <t>Lease</t>
  </si>
  <si>
    <t>Status</t>
  </si>
  <si>
    <t>Tran#</t>
  </si>
  <si>
    <t>Month</t>
  </si>
  <si>
    <t>Over</t>
  </si>
  <si>
    <t>Pre-</t>
  </si>
  <si>
    <t>Code</t>
  </si>
  <si>
    <t>Owed</t>
  </si>
  <si>
    <t>90 Owed</t>
  </si>
  <si>
    <t>payments</t>
  </si>
  <si>
    <t>Revolution Labs Owner, LLC (revlabpm)</t>
  </si>
  <si>
    <t xml:space="preserve">Accent Therapeutics, Inc (t0000011) </t>
  </si>
  <si>
    <t>revlabpm</t>
  </si>
  <si>
    <t>01/2026</t>
  </si>
  <si>
    <t xml:space="preserve">Keros Therapeutics Inc (t0000013) </t>
  </si>
  <si>
    <t xml:space="preserve">Orum Therapeutics (t0000014) </t>
  </si>
  <si>
    <t xml:space="preserve">Santi Therapeutics Inc (t0000015) </t>
  </si>
  <si>
    <t>R-4138</t>
  </si>
  <si>
    <t>Prepay</t>
  </si>
  <si>
    <t>Grand Total</t>
  </si>
  <si>
    <t>UserId : rwalsh@greatlandpartners.com Date : 5/11/2026 Time : 8:04 AM</t>
  </si>
  <si>
    <t>GL Account</t>
  </si>
  <si>
    <t>133110</t>
  </si>
  <si>
    <t>Vendor</t>
  </si>
  <si>
    <t>Start Date</t>
  </si>
  <si>
    <t>End Date</t>
  </si>
  <si>
    <t>Monthly Amt</t>
  </si>
  <si>
    <t>Months Amort.</t>
  </si>
  <si>
    <t>Remaining</t>
  </si>
  <si>
    <t>Balance</t>
  </si>
  <si>
    <t>141100</t>
  </si>
  <si>
    <t>Move CIP Cost to FA - 12/14/2022</t>
  </si>
  <si>
    <t>12/31/2022</t>
  </si>
  <si>
    <t>Beginning Balance (Revlabpm)</t>
  </si>
  <si>
    <t>01/01/2025</t>
  </si>
  <si>
    <t>Building Allocation (Revlabpm)</t>
  </si>
  <si>
    <t>03/31/2025</t>
  </si>
  <si>
    <t>Orum Q2 TI Capital (Revlabs)</t>
  </si>
  <si>
    <t>06/26/2025</t>
  </si>
  <si>
    <t>Penthouse Floor Epoxy-Black Bear Coatings &amp; Concrete</t>
  </si>
  <si>
    <t>06/2024</t>
  </si>
  <si>
    <t>Electric Whip for Epoxy - S&amp;W Electrical Contractors Inc.</t>
  </si>
  <si>
    <t>Garage Sports Equipment</t>
  </si>
  <si>
    <t>02/2025</t>
  </si>
  <si>
    <t>2nd Floor HVAC Corrections</t>
  </si>
  <si>
    <t>Commencement Date</t>
  </si>
  <si>
    <t>Keros</t>
  </si>
  <si>
    <t>1/4/2023 - 11/30/2031</t>
  </si>
  <si>
    <t>Triana</t>
  </si>
  <si>
    <t>4/13/2023 - 6/12/2033</t>
  </si>
  <si>
    <t>Accent</t>
  </si>
  <si>
    <t>Orum</t>
  </si>
  <si>
    <t>7/17/2023 - 8/31/2033</t>
  </si>
  <si>
    <t>Alchemab</t>
  </si>
  <si>
    <t>Moved-Out</t>
  </si>
  <si>
    <t>Rounding</t>
  </si>
  <si>
    <t>Revlabpm</t>
  </si>
  <si>
    <t>01/01/2024</t>
  </si>
  <si>
    <t>Beginning Balance</t>
  </si>
  <si>
    <t>10/31/2024</t>
  </si>
  <si>
    <t>Rev Labs Extension Fee</t>
  </si>
  <si>
    <t>Frost Brown Todd LLP Invoice</t>
  </si>
  <si>
    <t>Berkadia Commercial Mortgage</t>
  </si>
  <si>
    <t>ACORE Capital, LP Invoice</t>
  </si>
  <si>
    <t>Payables Aging Report</t>
  </si>
  <si>
    <t>revlabs revlabpm</t>
  </si>
  <si>
    <t>Period: 01/2026</t>
  </si>
  <si>
    <t>As of : 01/31/2026</t>
  </si>
  <si>
    <t>Remittance Vendor</t>
  </si>
  <si>
    <t>Payee Name</t>
  </si>
  <si>
    <t>Invoice</t>
  </si>
  <si>
    <t>Control</t>
  </si>
  <si>
    <t>Batch Id</t>
  </si>
  <si>
    <t>Invoice Date</t>
  </si>
  <si>
    <t>Account</t>
  </si>
  <si>
    <t>Invoice #</t>
  </si>
  <si>
    <t>Future</t>
  </si>
  <si>
    <t>Notes</t>
  </si>
  <si>
    <t>90</t>
  </si>
  <si>
    <t>v0000073</t>
  </si>
  <si>
    <t>P-19527</t>
  </si>
  <si>
    <t>19094</t>
  </si>
  <si>
    <t>637150 Admin-Tenant Relations</t>
  </si>
  <si>
    <t xml:space="preserve">USPAM513912 </t>
  </si>
  <si>
    <t xml:space="preserve">12.16.25 Recoverable Expenses </t>
  </si>
  <si>
    <t>P-19711</t>
  </si>
  <si>
    <t>19275</t>
  </si>
  <si>
    <t>637110 Admin-Pay/Wages</t>
  </si>
  <si>
    <t xml:space="preserve">USPAM517721 </t>
  </si>
  <si>
    <t xml:space="preserve">12.25 Reimbursable Payroll </t>
  </si>
  <si>
    <t xml:space="preserve">11.25 Recoverable Expenses </t>
  </si>
  <si>
    <t>P-19737</t>
  </si>
  <si>
    <t>19301</t>
  </si>
  <si>
    <t>637130 Admin-Management Fees</t>
  </si>
  <si>
    <t xml:space="preserve">USPAM519000 </t>
  </si>
  <si>
    <t xml:space="preserve">12/2025 JLL Mgmt Fee </t>
  </si>
  <si>
    <t>P-19738</t>
  </si>
  <si>
    <t>19302</t>
  </si>
  <si>
    <t>615110 RM-Pay/Wages</t>
  </si>
  <si>
    <t xml:space="preserve">USPAM516039 </t>
  </si>
  <si>
    <t xml:space="preserve">Eng OT 01.02.26 </t>
  </si>
  <si>
    <t xml:space="preserve">Eng Payroll 01.02.26 </t>
  </si>
  <si>
    <t xml:space="preserve">Admin Payroll 01.02.26 </t>
  </si>
  <si>
    <t>Total v0000073</t>
  </si>
  <si>
    <t xml:space="preserve">Grand Total </t>
  </si>
  <si>
    <t>Period: Jan-2026  |  revlabs  |  Prepared by: Ryan Walsh  |  05/12/2026</t>
  </si>
  <si>
    <t>440100</t>
  </si>
  <si>
    <t>Recovery - Operating Expense</t>
  </si>
  <si>
    <t>211300</t>
  </si>
  <si>
    <t>01/31/2026</t>
  </si>
  <si>
    <t>213200</t>
  </si>
  <si>
    <t>217200</t>
  </si>
  <si>
    <t>231100</t>
  </si>
  <si>
    <t>Funding</t>
  </si>
  <si>
    <t>05/01/2021</t>
  </si>
  <si>
    <t>331100-Partner Distributions</t>
  </si>
  <si>
    <t>07/01/2024</t>
  </si>
  <si>
    <t>Transfer to Rev Lab Ventures</t>
  </si>
  <si>
    <t>09/01/2024</t>
  </si>
  <si>
    <t>Rcd: Distribution_09'24 - Transfer to Rev Lab Ventures</t>
  </si>
  <si>
    <t>12/01/2024</t>
  </si>
  <si>
    <t>Rcd: Distribution_12'24</t>
  </si>
  <si>
    <t>03/01/2025</t>
  </si>
  <si>
    <t>Rcd: Distribution_03'25</t>
  </si>
  <si>
    <t>08/01/2025</t>
  </si>
  <si>
    <t>Rcd: Distribution_08'25</t>
  </si>
  <si>
    <t>09/01/2025</t>
  </si>
  <si>
    <t>Rcd: Distribution_09'25</t>
  </si>
  <si>
    <t>12/01/2025</t>
  </si>
  <si>
    <t>Rcd: Distribution_12'25</t>
  </si>
  <si>
    <t>Check Date</t>
  </si>
  <si>
    <t>Date Cleared</t>
  </si>
  <si>
    <t>Prophia Inc</t>
  </si>
  <si>
    <t>Total Cleared Checks</t>
  </si>
  <si>
    <t>PARCEL ID:  00011619</t>
  </si>
  <si>
    <t>3QTR Payment by client covering Jan thru March</t>
  </si>
  <si>
    <t>01/25/2023</t>
  </si>
  <si>
    <t>Reclass January Tax Exp fr PPD</t>
  </si>
  <si>
    <t>Reclass Feb Tax Exp fr PPD</t>
  </si>
  <si>
    <t>02/25/2023</t>
  </si>
  <si>
    <t>Reclass Mar Tax Exp fr PPD</t>
  </si>
  <si>
    <t>03/25/2023</t>
  </si>
  <si>
    <t>4QTR Payment by client covering Apr thru June</t>
  </si>
  <si>
    <t>04/25/2023</t>
  </si>
  <si>
    <t>Reclass April Tax Exp fr PPD</t>
  </si>
  <si>
    <t>Reclass May Tax Exp fr PPD</t>
  </si>
  <si>
    <t>05/25/2023</t>
  </si>
  <si>
    <t>Reclass June Tax Exp fr PPD</t>
  </si>
  <si>
    <t>06/25/2023</t>
  </si>
  <si>
    <t>FY23/24 1QTR Payment covering July thru Sept</t>
  </si>
  <si>
    <t>07/14/2023</t>
  </si>
  <si>
    <t>Reclass Aug and Sept Exp to PPD</t>
  </si>
  <si>
    <t>07/25/2023</t>
  </si>
  <si>
    <t>Reclass Aug Tax Exp fr PPD</t>
  </si>
  <si>
    <t>08/25/2023</t>
  </si>
  <si>
    <t>Reclass Sept Tax Exp fr PPD</t>
  </si>
  <si>
    <t>09/25/2023</t>
  </si>
  <si>
    <t>Accr 9/23 Tax Increase</t>
  </si>
  <si>
    <t>FY23/24 2QTR Payment covering Oct thru Dec-2023</t>
  </si>
  <si>
    <t>10/10/2023</t>
  </si>
  <si>
    <t>Reclass Nov and Dec -2023 Exp to PPD</t>
  </si>
  <si>
    <t>10/25/2023</t>
  </si>
  <si>
    <t>Accr 10/23 Tax Increase</t>
  </si>
  <si>
    <t>Reclass Nov Tax Exp fr PPD</t>
  </si>
  <si>
    <t>11/25/2023</t>
  </si>
  <si>
    <t>Accr 11/23 Tax Increase</t>
  </si>
  <si>
    <t>Reclass Dec Tax Exp fr PPD</t>
  </si>
  <si>
    <t>12/25/2023</t>
  </si>
  <si>
    <t>Accr 12/23 Tax Increase</t>
  </si>
  <si>
    <t>FY 24- Q3 Payment Covering Jan thru March 2024</t>
  </si>
  <si>
    <t>01/25/2024</t>
  </si>
  <si>
    <t>RE Tax Accrual Adjustment - Q3-FY24</t>
  </si>
  <si>
    <t>Reclass Feb -24 &amp; March 24</t>
  </si>
  <si>
    <t>RE Tax Accrual Adjustment</t>
  </si>
  <si>
    <t>Amortize Feb-24 RET Expense</t>
  </si>
  <si>
    <t>Feb-24 Tax Accrual Adjustment</t>
  </si>
  <si>
    <t>Amortize March-24 RET Expense</t>
  </si>
  <si>
    <t>Reverse Feb accrual adj to zero out</t>
  </si>
  <si>
    <t>FY 24- Q4 Payment Covering April thru June 2024</t>
  </si>
  <si>
    <t>04/05/2024</t>
  </si>
  <si>
    <t>Reclass May -24 &amp; June 24</t>
  </si>
  <si>
    <t>RE Tax Accrual Adjustment - Q4-FY24</t>
  </si>
  <si>
    <t>RE Tax due per 5.10.24 Loan Stmt</t>
  </si>
  <si>
    <t>Amortize 5.24 RET Expense (a)</t>
  </si>
  <si>
    <t>Amortize Q3-FY24 Accrual Adjustment (a)</t>
  </si>
  <si>
    <t>Amortize 5.24 RET Expense (b)</t>
  </si>
  <si>
    <t>Amortize Q3-FY24 Accrual Adjustment (b)</t>
  </si>
  <si>
    <t>RE Tax Payment FY 2025 (1st Quarter) July-Sept 2024</t>
  </si>
  <si>
    <t>Reclass Aug-Sept 2024 RE Tax</t>
  </si>
  <si>
    <t>Amortize 8.24 RET Tax Expense</t>
  </si>
  <si>
    <t>Amortize 09.24 RET Tax Expense</t>
  </si>
  <si>
    <t>09/25/2024</t>
  </si>
  <si>
    <t>RE Tax Payment FY 2025 (2nd Quarter) Oct-Dec 2024</t>
  </si>
  <si>
    <t>Reclass Nov-Dec 2024 RE Tax</t>
  </si>
  <si>
    <t>10/25/2024</t>
  </si>
  <si>
    <t>Amortize 11.24 RET Tax Expense</t>
  </si>
  <si>
    <t>11/25/2024</t>
  </si>
  <si>
    <t>Amortize 12.24 RET Tax Expense</t>
  </si>
  <si>
    <t>12/25/2024</t>
  </si>
  <si>
    <t>Accr: True-up the RE Tax expense</t>
  </si>
  <si>
    <t>RE Tax Payment FY 2025 (3rd Quarter) Jan - Mar 2025</t>
  </si>
  <si>
    <t>Reclass Feb-Mar 2025 RE Tax</t>
  </si>
  <si>
    <t>01/25/2025</t>
  </si>
  <si>
    <t>Amort: Feb 2025 RE Tax</t>
  </si>
  <si>
    <t>02/25/2025</t>
  </si>
  <si>
    <t>Amort: Mar 2025 RE Tax</t>
  </si>
  <si>
    <t>RE Tax Payment FY 2025 (4th Quarter) April - June 2025</t>
  </si>
  <si>
    <t>Reclass May-June 2025 RE Tax</t>
  </si>
  <si>
    <t>Amort: May 2025 RE Tax</t>
  </si>
  <si>
    <t>Amort: June 2025 RE Tax</t>
  </si>
  <si>
    <t>RE Tax Payment FY 2025 (4th Quarter) July - Sep 2025</t>
  </si>
  <si>
    <t>Reclass Aug-Sep 2025 RE Tax</t>
  </si>
  <si>
    <t>Amort: Aug 2025 RE Tax</t>
  </si>
  <si>
    <t>Amort: Sep 2025 RE Tax</t>
  </si>
  <si>
    <t>RE Tax Payment FY 2025 (4th Quarter) Oct - Dec 2025</t>
  </si>
  <si>
    <t>Reclass Nov-Dec 2025 RE Tax</t>
  </si>
  <si>
    <t>Amort: Nov 2025 RE Tax</t>
  </si>
  <si>
    <t>Amort: Dec 2025 RE Tax</t>
  </si>
  <si>
    <t>RE Tax Payment FY 2026 (1st Quarter) Jan - March 2026</t>
  </si>
  <si>
    <t>Reclass Feb-March 2026 RE Tax</t>
  </si>
  <si>
    <t>PARCEL ID:  R0140050002</t>
  </si>
  <si>
    <t>4QTR Payment by Client covering Jan thru March</t>
  </si>
  <si>
    <t>Reclass Feb &amp; March 2024 to PPD</t>
  </si>
  <si>
    <t>Reclass Feb Tax Exp fr PPD (R2)</t>
  </si>
  <si>
    <t>Reclass Mar Tax Exp fr PPD (R2)</t>
  </si>
  <si>
    <t>FY24-Q4 WALTHAM</t>
  </si>
  <si>
    <t>Reclass May &amp; June 2024 to PPD</t>
  </si>
  <si>
    <t>Amortize May-2024 Exp</t>
  </si>
  <si>
    <t>Amortize June-2024 Exp</t>
  </si>
  <si>
    <t>Massachusetts Appellate Tax Board payment</t>
  </si>
  <si>
    <t>FY25-Q1 WALTHAM</t>
  </si>
  <si>
    <t>Reclass Aug &amp; Sept 2024 to PPD</t>
  </si>
  <si>
    <t>Amortize 8.2024 RET Tax Expense</t>
  </si>
  <si>
    <t>Amortize 09.2024 RET Tax Expense</t>
  </si>
  <si>
    <t>FY25-Q2 WALTHAM</t>
  </si>
  <si>
    <t>Reclass Nov-Dec 2024 to PPD</t>
  </si>
  <si>
    <t>Amortize 11.2024 RET Tax Expense</t>
  </si>
  <si>
    <t>Amortize 12.2024 RET Tax Expense</t>
  </si>
  <si>
    <t>FY25-Q3 WALTHAM</t>
  </si>
  <si>
    <t>Reclass Feb-Mar 2025 RE Tax (R2)</t>
  </si>
  <si>
    <t>Amort: Feb 2025 RE Tax (R2)</t>
  </si>
  <si>
    <t>Amort: Mar 2025 RE Tax (R2)</t>
  </si>
  <si>
    <t>FY25-Q4 WALTHAM</t>
  </si>
  <si>
    <t>Reclass May-June 2025 RE Tax (R2)</t>
  </si>
  <si>
    <t>Amort: May 2025 RE Tax (R2)</t>
  </si>
  <si>
    <t>Amort: June 2025 RE Tax (R2)</t>
  </si>
  <si>
    <t>Tax Board Filing Fee 2025</t>
  </si>
  <si>
    <t>RE Tax Payment July - Sep 2025 (R2)</t>
  </si>
  <si>
    <t>Reclass Aug-Sep 2025 RE Tax (R2)</t>
  </si>
  <si>
    <t>Amort: Aug 2025 RE Tax (R2)</t>
  </si>
  <si>
    <t>Amort: Sep 2025 RE Tax (R2)</t>
  </si>
  <si>
    <t>RE Tax Payment Oct - Dec 2025 (R2)</t>
  </si>
  <si>
    <t>Reclass Nov-Dec 2025 RE Tax (R2)</t>
  </si>
  <si>
    <t>Amort: Nov 2025 RE Tax (R2)</t>
  </si>
  <si>
    <t>Amort: Dec 2025 RE Tax (R2)</t>
  </si>
  <si>
    <t>RE Tax Payment FY 2026 Jan - March 2026 (R2)</t>
  </si>
  <si>
    <t>Reclass Feb-March 2026 RE Tax (R2)</t>
  </si>
  <si>
    <t>Policy Type / Description</t>
  </si>
  <si>
    <t>Term</t>
  </si>
  <si>
    <t>Total Premium</t>
  </si>
  <si>
    <t>Per Month</t>
  </si>
  <si>
    <t>Revolution Labs</t>
  </si>
  <si>
    <t>Interest Expense</t>
  </si>
  <si>
    <t>Loan #</t>
  </si>
  <si>
    <t>Balance at 12/31/24-Dec interest accrual</t>
  </si>
  <si>
    <t>Dec 2024 Accrual Reversal</t>
  </si>
  <si>
    <t>01/25</t>
  </si>
  <si>
    <t>1159010</t>
  </si>
  <si>
    <t>Dec Interest Payment</t>
  </si>
  <si>
    <t>1159011</t>
  </si>
  <si>
    <t>1159012</t>
  </si>
  <si>
    <t>Accr Jan Interest Due -11159010</t>
  </si>
  <si>
    <t>Accr Jan Interest Due -11159011</t>
  </si>
  <si>
    <t>Accr Jan Interest Due -11159012</t>
  </si>
  <si>
    <t>Jan 2025 Accrual Reversal</t>
  </si>
  <si>
    <t>02/25</t>
  </si>
  <si>
    <t>Jan Interest Payment</t>
  </si>
  <si>
    <t>Accr Feb Interest Due -11159010</t>
  </si>
  <si>
    <t>Accr Feb Interest Due -11159011</t>
  </si>
  <si>
    <t>Accr Feb Interest Due -11159012</t>
  </si>
  <si>
    <t>Feb 2025 Accrual Reversal</t>
  </si>
  <si>
    <t>03/25</t>
  </si>
  <si>
    <t>Feb Interest Payment</t>
  </si>
  <si>
    <t>Accr Mar Interest Due -11159010</t>
  </si>
  <si>
    <t>Accr Mar Interest Due -11159011</t>
  </si>
  <si>
    <t>Accr Mar Interest Due -11159012</t>
  </si>
  <si>
    <t>Mar 2025 Accrual Reversal</t>
  </si>
  <si>
    <t>04/25</t>
  </si>
  <si>
    <t>Mar Interest Payment</t>
  </si>
  <si>
    <t>Accr April Interest Due -11159010</t>
  </si>
  <si>
    <t>Accr April Interest Due -11159011</t>
  </si>
  <si>
    <t>Accr April Interest Due -11159012</t>
  </si>
  <si>
    <t>April 2025 Accrual Reversal</t>
  </si>
  <si>
    <t>05/25</t>
  </si>
  <si>
    <t>April Interest Payment</t>
  </si>
  <si>
    <t>Accr May Interest Due -11159010</t>
  </si>
  <si>
    <t>Accr May Interest Due -11159011</t>
  </si>
  <si>
    <t>Accr May Interest Due -11159012</t>
  </si>
  <si>
    <t>May 2025 Accrual Reversal</t>
  </si>
  <si>
    <t>06/25</t>
  </si>
  <si>
    <t>May Interest Payment</t>
  </si>
  <si>
    <t>June 2025 Accrual Reversal</t>
  </si>
  <si>
    <t>Accr June Interest Due -11159010</t>
  </si>
  <si>
    <t>Accr June Interest Due -11159011</t>
  </si>
  <si>
    <t>Accr June Interest Due -11159012</t>
  </si>
  <si>
    <t>June Interest Payment</t>
  </si>
  <si>
    <t>07/25</t>
  </si>
  <si>
    <t>Accr July Interest Due -11159010</t>
  </si>
  <si>
    <t>Accr July Interest Due -11159011</t>
  </si>
  <si>
    <t>Accr July Interest Due -11159012</t>
  </si>
  <si>
    <t>July 2025 Accrual Reversal</t>
  </si>
  <si>
    <t>08/25</t>
  </si>
  <si>
    <t>july Interest Payment</t>
  </si>
  <si>
    <t>August 2025 Accrual Reversal</t>
  </si>
  <si>
    <t>Accr Aug Interest Due -11159010</t>
  </si>
  <si>
    <t>Accr Aug Interest Due -11159011</t>
  </si>
  <si>
    <t>Accr Aug Interest Due -11159012</t>
  </si>
  <si>
    <t>Aug Interest Payment</t>
  </si>
  <si>
    <t>09/25</t>
  </si>
  <si>
    <t>Accr Sep Interest Due -11159010</t>
  </si>
  <si>
    <t>Accr Sep Interest Due -11159011</t>
  </si>
  <si>
    <t>Accr Sep Interest Due -11159012</t>
  </si>
  <si>
    <t>September 2025 Accrual Reversal</t>
  </si>
  <si>
    <t>10/25</t>
  </si>
  <si>
    <t>Sep Interest Payment</t>
  </si>
  <si>
    <t>Accr Oct Interest Due -11159010</t>
  </si>
  <si>
    <t>Accr Oct Interest Due -11159011</t>
  </si>
  <si>
    <t>Accr Oct Interest Due -11159012</t>
  </si>
  <si>
    <t>October 2025 Accrual Reversal</t>
  </si>
  <si>
    <t>11/25</t>
  </si>
  <si>
    <t>Nov Interest Payment</t>
  </si>
  <si>
    <t>Accr Nov Interest Due -11159010</t>
  </si>
  <si>
    <t>Accr Nov Interest Due -11159011</t>
  </si>
  <si>
    <t>Accr Nov Interest Due -11159012</t>
  </si>
  <si>
    <t>November 2025 Accrual Reversal</t>
  </si>
  <si>
    <t>12/25</t>
  </si>
  <si>
    <t>Accr Dec Interest Due -11159010</t>
  </si>
  <si>
    <t>Accr Dec Interest Due -11159011</t>
  </si>
  <si>
    <t>Accr Dec Interest Due -11159012</t>
  </si>
  <si>
    <t>December 2025 Accrual Reversal</t>
  </si>
  <si>
    <t>01/26</t>
  </si>
  <si>
    <t>Property =  revlabpm revlabs</t>
  </si>
  <si>
    <t>Trial Balance</t>
  </si>
  <si>
    <t>Period = Jan 2026</t>
  </si>
  <si>
    <t>Book = Accrual ; Tree = ysi_tb</t>
  </si>
  <si>
    <t>Forward</t>
  </si>
  <si>
    <t>Ending</t>
  </si>
  <si>
    <t>Debit</t>
  </si>
  <si>
    <t>Credit</t>
  </si>
  <si>
    <t>111100</t>
  </si>
  <si>
    <t>Cash - Operating</t>
  </si>
  <si>
    <t>Cash - Development - BofA</t>
  </si>
  <si>
    <t>115100</t>
  </si>
  <si>
    <t>Restricted Cash - Deposit Escrow</t>
  </si>
  <si>
    <t>115200</t>
  </si>
  <si>
    <t>Restricted Cash - RE Tax Escrow</t>
  </si>
  <si>
    <t>115300</t>
  </si>
  <si>
    <t>Restricted Cash - Insurance Escrow</t>
  </si>
  <si>
    <t>115600</t>
  </si>
  <si>
    <t>Restricted Cash - Other Reserve</t>
  </si>
  <si>
    <t>131100</t>
  </si>
  <si>
    <t>Accounts Receivable - Control</t>
  </si>
  <si>
    <t>133100</t>
  </si>
  <si>
    <t>Accounts Receivable - Other</t>
  </si>
  <si>
    <t>Accounts Receivable - Tenant Billback</t>
  </si>
  <si>
    <t>135110</t>
  </si>
  <si>
    <t>Prepaid Insurance</t>
  </si>
  <si>
    <t>135120</t>
  </si>
  <si>
    <t>Prepaid RE Tax</t>
  </si>
  <si>
    <t>135150</t>
  </si>
  <si>
    <t>Prepaid Other</t>
  </si>
  <si>
    <t>Due From/(To) Related Parties</t>
  </si>
  <si>
    <t>152100</t>
  </si>
  <si>
    <t>Land</t>
  </si>
  <si>
    <t>154100</t>
  </si>
  <si>
    <t>Building</t>
  </si>
  <si>
    <t>154500</t>
  </si>
  <si>
    <t>Building Improvements</t>
  </si>
  <si>
    <t>181200</t>
  </si>
  <si>
    <t>Leasing Commissions</t>
  </si>
  <si>
    <t>181300</t>
  </si>
  <si>
    <t>Legal Leasing Costs</t>
  </si>
  <si>
    <t>181400</t>
  </si>
  <si>
    <t>Tenant Improvements</t>
  </si>
  <si>
    <t>187100</t>
  </si>
  <si>
    <t>Financing Costs</t>
  </si>
  <si>
    <t>211100</t>
  </si>
  <si>
    <t>Accounts Payable - Control</t>
  </si>
  <si>
    <t>Accounts Payable - Other</t>
  </si>
  <si>
    <t>213100</t>
  </si>
  <si>
    <t>Accrued Expenses</t>
  </si>
  <si>
    <t>Accrued Interest</t>
  </si>
  <si>
    <t>Security Deposit - Other</t>
  </si>
  <si>
    <t>221100</t>
  </si>
  <si>
    <t>Prepaid Rent - Tenant</t>
  </si>
  <si>
    <t>Mortgage Payable</t>
  </si>
  <si>
    <t>311100</t>
  </si>
  <si>
    <t>Contributions - Partner A</t>
  </si>
  <si>
    <t>331100</t>
  </si>
  <si>
    <t>Distributions - Partner A</t>
  </si>
  <si>
    <t>381100</t>
  </si>
  <si>
    <t>Retained Earnings - Control</t>
  </si>
  <si>
    <t>411150</t>
  </si>
  <si>
    <t>Rent - Lab</t>
  </si>
  <si>
    <t>440200</t>
  </si>
  <si>
    <t>Recovery - Real Estate Tax</t>
  </si>
  <si>
    <t>440500</t>
  </si>
  <si>
    <t>Recovery - Electricity</t>
  </si>
  <si>
    <t>440700</t>
  </si>
  <si>
    <t>Recovery - Misc Utilities</t>
  </si>
  <si>
    <t>485100</t>
  </si>
  <si>
    <t>Interest Income</t>
  </si>
  <si>
    <t>610110</t>
  </si>
  <si>
    <t>Cleaning-Contract Svc</t>
  </si>
  <si>
    <t>610140</t>
  </si>
  <si>
    <t>Cleaning-Mat/Supplies</t>
  </si>
  <si>
    <t>610160</t>
  </si>
  <si>
    <t>Cleaning-Trash Removal</t>
  </si>
  <si>
    <t>613110</t>
  </si>
  <si>
    <t>Utilities-Electricity</t>
  </si>
  <si>
    <t>613115</t>
  </si>
  <si>
    <t>Tenant Electric Reimbursement</t>
  </si>
  <si>
    <t>613210</t>
  </si>
  <si>
    <t>Utilities-Gas</t>
  </si>
  <si>
    <t>613310</t>
  </si>
  <si>
    <t>Utilities-Water/Sewer</t>
  </si>
  <si>
    <t>615110</t>
  </si>
  <si>
    <t>RM-Pay/Wages</t>
  </si>
  <si>
    <t>615140</t>
  </si>
  <si>
    <t>RM-Uniforms</t>
  </si>
  <si>
    <t>615170</t>
  </si>
  <si>
    <t>RM-Materials/Supplies</t>
  </si>
  <si>
    <t>615230</t>
  </si>
  <si>
    <t>RM-Signage</t>
  </si>
  <si>
    <t>615260</t>
  </si>
  <si>
    <t>RM-Pest Control</t>
  </si>
  <si>
    <t>615320</t>
  </si>
  <si>
    <t>RM-Doors/Locks</t>
  </si>
  <si>
    <t>617110</t>
  </si>
  <si>
    <t>HVAC Maint-Contract Svc</t>
  </si>
  <si>
    <t>617120</t>
  </si>
  <si>
    <t>HVAC Maint-Repairs</t>
  </si>
  <si>
    <t>617140</t>
  </si>
  <si>
    <t>HVAC Maint-Water Treatment</t>
  </si>
  <si>
    <t>619120</t>
  </si>
  <si>
    <t>Plumbing Contract Svc</t>
  </si>
  <si>
    <t>619130</t>
  </si>
  <si>
    <t>Plumbing Repairs</t>
  </si>
  <si>
    <t>627130</t>
  </si>
  <si>
    <t>Security-Contract Svc</t>
  </si>
  <si>
    <t>627170</t>
  </si>
  <si>
    <t>Security-Repairs</t>
  </si>
  <si>
    <t>627230</t>
  </si>
  <si>
    <t>Fire/Life-Contract Svc Fire System</t>
  </si>
  <si>
    <t>631120</t>
  </si>
  <si>
    <t>Elevator-Repairs</t>
  </si>
  <si>
    <t>633120</t>
  </si>
  <si>
    <t>Landscaping Interior-Contract Svc</t>
  </si>
  <si>
    <t>635110</t>
  </si>
  <si>
    <t>Snow &amp; Ice Removal</t>
  </si>
  <si>
    <t>637110</t>
  </si>
  <si>
    <t>Admin-Pay/Wages</t>
  </si>
  <si>
    <t>637130</t>
  </si>
  <si>
    <t>Admin-Management Fees</t>
  </si>
  <si>
    <t>637150</t>
  </si>
  <si>
    <t>Admin-Tenant Relations</t>
  </si>
  <si>
    <t>637170</t>
  </si>
  <si>
    <t>Admin-Food Service Amenities</t>
  </si>
  <si>
    <t>637190</t>
  </si>
  <si>
    <t>Admin-Fitness Amenities</t>
  </si>
  <si>
    <t>637230</t>
  </si>
  <si>
    <t>Admin-Materials/Supplies</t>
  </si>
  <si>
    <t>637270</t>
  </si>
  <si>
    <t>Admin-Bank Charges</t>
  </si>
  <si>
    <t>637290</t>
  </si>
  <si>
    <t>Admin-Telephone</t>
  </si>
  <si>
    <t>637330</t>
  </si>
  <si>
    <t>Admin-Dues/Subscriptions</t>
  </si>
  <si>
    <t>637350</t>
  </si>
  <si>
    <t>Admin-Travel</t>
  </si>
  <si>
    <t>637370</t>
  </si>
  <si>
    <t>Admin-Computer/Software</t>
  </si>
  <si>
    <t>639110</t>
  </si>
  <si>
    <t>Insurance-Property</t>
  </si>
  <si>
    <t>639120</t>
  </si>
  <si>
    <t>Insurance-General Liability</t>
  </si>
  <si>
    <t>641110</t>
  </si>
  <si>
    <t>Real Estate Taxes</t>
  </si>
  <si>
    <t>680110</t>
  </si>
  <si>
    <t>NR-Prof Fees-Legal</t>
  </si>
  <si>
    <t>680510</t>
  </si>
  <si>
    <t>NR-Marketing &amp; PR</t>
  </si>
  <si>
    <t>725340</t>
  </si>
  <si>
    <t>Bank Charges</t>
  </si>
  <si>
    <t>801110</t>
  </si>
  <si>
    <t>AR Tenant Billback</t>
  </si>
  <si>
    <t>RET Escrow</t>
  </si>
  <si>
    <t>Insurance Escrow</t>
  </si>
  <si>
    <t>Loan Reserve</t>
  </si>
  <si>
    <t>Prepaid - Other</t>
  </si>
  <si>
    <t>Tenant Improvement</t>
  </si>
  <si>
    <t>Finance Costs</t>
  </si>
  <si>
    <t>Accrue: Keros Elect - 1/1/2026-1/31/2026</t>
  </si>
  <si>
    <t>Accrue: Keros HVAC - 1/1/2026-1/31/2026</t>
  </si>
  <si>
    <t>Revlabspm</t>
  </si>
  <si>
    <t xml:space="preserve"> 221335-Refundable Security Deposit</t>
  </si>
  <si>
    <t>General Liability</t>
  </si>
  <si>
    <t>6/12/2025- 6/12/2026</t>
  </si>
  <si>
    <t>Stewart Management Company</t>
  </si>
  <si>
    <t>CT CORPORATION SYSTEM</t>
  </si>
  <si>
    <t>Dynamic Media</t>
  </si>
  <si>
    <t>Invoice Number</t>
  </si>
  <si>
    <t>G/L Account</t>
  </si>
  <si>
    <t>Manager</t>
  </si>
  <si>
    <t>Entities</t>
  </si>
  <si>
    <t>Greatland Realty Partner</t>
  </si>
  <si>
    <t>Revlabs, Revlabspm</t>
  </si>
  <si>
    <t>Annual Firewall, Switch Wireless</t>
  </si>
  <si>
    <t>Prophia Subscprition</t>
  </si>
  <si>
    <t>Annula Streaming Service</t>
  </si>
  <si>
    <t>5009225232-1</t>
  </si>
  <si>
    <t>5009224035-01</t>
  </si>
  <si>
    <t>Filing Fee</t>
  </si>
  <si>
    <t>5009223719-01</t>
  </si>
  <si>
    <t>Special Member Services</t>
  </si>
  <si>
    <t>RevLabsKardin25</t>
  </si>
  <si>
    <t>Kardin Property Budgeting Software</t>
  </si>
  <si>
    <t>Loan Analysis</t>
  </si>
  <si>
    <t>Insurance Analysis</t>
  </si>
  <si>
    <t>Umbrella Premium (CAN)</t>
  </si>
  <si>
    <t>Umbrella Premium (Navigator)</t>
  </si>
  <si>
    <t>Insurance - Property</t>
  </si>
  <si>
    <t>Insurance - General Liability</t>
  </si>
  <si>
    <t>RE Tax Analysis</t>
  </si>
  <si>
    <t>Prepaid RE Taxes</t>
  </si>
  <si>
    <t>RE Tax Expense</t>
  </si>
  <si>
    <t>Rev Labs Owner LLC PNC</t>
  </si>
  <si>
    <t>Bank Reconciliation Report</t>
  </si>
  <si>
    <t>1092223993</t>
  </si>
  <si>
    <t>Posted by: jlrr0627 on 2/1/2026</t>
  </si>
  <si>
    <t>Check Number</t>
  </si>
  <si>
    <t xml:space="preserve">        2708</t>
  </si>
  <si>
    <t xml:space="preserve">        2712</t>
  </si>
  <si>
    <t xml:space="preserve">        2713</t>
  </si>
  <si>
    <t xml:space="preserve">        2715</t>
  </si>
  <si>
    <t xml:space="preserve">        2719</t>
  </si>
  <si>
    <t xml:space="preserve">        2721</t>
  </si>
  <si>
    <t xml:space="preserve">        2722</t>
  </si>
  <si>
    <t xml:space="preserve">        2723</t>
  </si>
  <si>
    <t xml:space="preserve">        2724</t>
  </si>
  <si>
    <t xml:space="preserve">        2725</t>
  </si>
  <si>
    <t xml:space="preserve">        2726</t>
  </si>
  <si>
    <t xml:space="preserve">        2727</t>
  </si>
  <si>
    <t xml:space="preserve">        2728</t>
  </si>
  <si>
    <t xml:space="preserve">        2729</t>
  </si>
  <si>
    <t xml:space="preserve">        2731</t>
  </si>
  <si>
    <t xml:space="preserve">        2732</t>
  </si>
  <si>
    <t xml:space="preserve">        2733</t>
  </si>
  <si>
    <t>Less:</t>
  </si>
  <si>
    <t/>
  </si>
  <si>
    <t>Balance per GL as of 1/25/2026</t>
  </si>
  <si>
    <t>Reconciled Balance Per G/L</t>
  </si>
  <si>
    <t>(Reconciled Bank Balance And Reconciled Balance Per G/L)</t>
  </si>
  <si>
    <t>Cleared Items:</t>
  </si>
  <si>
    <t>Cleared Checks</t>
  </si>
  <si>
    <t xml:space="preserve">        2655</t>
  </si>
  <si>
    <t>v0000166 - Janitronics Inc</t>
  </si>
  <si>
    <t xml:space="preserve">        2669</t>
  </si>
  <si>
    <t xml:space="preserve">        2675</t>
  </si>
  <si>
    <t>v0000061 - Greatland Realty Partners LLC</t>
  </si>
  <si>
    <t xml:space="preserve">        2679</t>
  </si>
  <si>
    <t>v0000397 - Prophia Inc</t>
  </si>
  <si>
    <t xml:space="preserve">        2680</t>
  </si>
  <si>
    <t>v0000441 - CINTAS CORPORATION</t>
  </si>
  <si>
    <t xml:space="preserve">        2684</t>
  </si>
  <si>
    <t xml:space="preserve">        2685</t>
  </si>
  <si>
    <t xml:space="preserve">        2686</t>
  </si>
  <si>
    <t>v0000071 - Interconnect Computer Cabling</t>
  </si>
  <si>
    <t xml:space="preserve">        2687</t>
  </si>
  <si>
    <t>v0000073 - Jones Lang LaSalle Americas Inc</t>
  </si>
  <si>
    <t xml:space="preserve">        2688</t>
  </si>
  <si>
    <t>v0000145 - Verizon Wireless</t>
  </si>
  <si>
    <t xml:space="preserve">        2689</t>
  </si>
  <si>
    <t>v0000154 - ArcLight Information Technology LLC</t>
  </si>
  <si>
    <t xml:space="preserve">        2690</t>
  </si>
  <si>
    <t>v0000221 - HEARTLINE FITNESS PRODUCTS INC</t>
  </si>
  <si>
    <t xml:space="preserve">        2691</t>
  </si>
  <si>
    <t>v0000289 - 128 BUSINESS COUNCIL</t>
  </si>
  <si>
    <t xml:space="preserve">        2692</t>
  </si>
  <si>
    <t xml:space="preserve">        2693</t>
  </si>
  <si>
    <t>v0000320 - MD WEAVER CORPORATION</t>
  </si>
  <si>
    <t xml:space="preserve">        2694</t>
  </si>
  <si>
    <t xml:space="preserve">        2695</t>
  </si>
  <si>
    <t>v0000329 - PPM INDUSTRIAL WATER SERVICES</t>
  </si>
  <si>
    <t xml:space="preserve">        2696</t>
  </si>
  <si>
    <t>v0000336 - THE JONES AGENCY INC</t>
  </si>
  <si>
    <t xml:space="preserve">        2697</t>
  </si>
  <si>
    <t xml:space="preserve">v0000368 - Apex Computers, Inc. </t>
  </si>
  <si>
    <t xml:space="preserve">        2698</t>
  </si>
  <si>
    <t>v0000385 - Copy-Pro Inc</t>
  </si>
  <si>
    <t xml:space="preserve">        2699</t>
  </si>
  <si>
    <t>v0000394 - Cityscapes Plant Care Inc</t>
  </si>
  <si>
    <t xml:space="preserve">        2700</t>
  </si>
  <si>
    <t xml:space="preserve">        2701</t>
  </si>
  <si>
    <t xml:space="preserve">        2702</t>
  </si>
  <si>
    <t>v0000466 - Dynamic Air Corporation</t>
  </si>
  <si>
    <t xml:space="preserve">        2703</t>
  </si>
  <si>
    <t xml:space="preserve">v0000516 - Outdoor Pride Landscaping &amp; Snow Mgmt </t>
  </si>
  <si>
    <t xml:space="preserve">        2704</t>
  </si>
  <si>
    <t xml:space="preserve">        2705</t>
  </si>
  <si>
    <t>v0000567 - JLL Marketplace LLC</t>
  </si>
  <si>
    <t xml:space="preserve">        2706</t>
  </si>
  <si>
    <t>v0000606 - NRG Business Marketing</t>
  </si>
  <si>
    <t xml:space="preserve">        2707</t>
  </si>
  <si>
    <t xml:space="preserve">        2709</t>
  </si>
  <si>
    <t>v0000678 - Kirkwood</t>
  </si>
  <si>
    <t xml:space="preserve">        2710</t>
  </si>
  <si>
    <t>v0000683 - JM Service Company LLC</t>
  </si>
  <si>
    <t xml:space="preserve">        2711</t>
  </si>
  <si>
    <t xml:space="preserve">        2714</t>
  </si>
  <si>
    <t>v0000049 - Eversource</t>
  </si>
  <si>
    <t xml:space="preserve">        2716</t>
  </si>
  <si>
    <t>v0000252 - NORTHEAST SECURITY INC</t>
  </si>
  <si>
    <t xml:space="preserve">        2717</t>
  </si>
  <si>
    <t>v0000299 - CASELLA WASTE SYSTEM</t>
  </si>
  <si>
    <t xml:space="preserve">        2718</t>
  </si>
  <si>
    <t xml:space="preserve">        2720</t>
  </si>
  <si>
    <t xml:space="preserve">        2730</t>
  </si>
  <si>
    <t>Cleared Other Items</t>
  </si>
  <si>
    <t>JE 18364</t>
  </si>
  <si>
    <t>JE 18365</t>
  </si>
  <si>
    <t>JE 18462</t>
  </si>
  <si>
    <t>JE 18463</t>
  </si>
  <si>
    <t>Total Cleared Other Items</t>
  </si>
  <si>
    <t>Revolution Labs Owner, LLC</t>
  </si>
  <si>
    <t>466007913132</t>
  </si>
  <si>
    <t>Posted by: jlrr0627 on 2/4/2026</t>
  </si>
  <si>
    <t>Revlabpm Deposit account</t>
  </si>
  <si>
    <t>329681415132</t>
  </si>
  <si>
    <t>Cleared Deposits</t>
  </si>
  <si>
    <t xml:space="preserve">     134</t>
  </si>
  <si>
    <t xml:space="preserve">     133</t>
  </si>
  <si>
    <t xml:space="preserve">     135</t>
  </si>
  <si>
    <t xml:space="preserve">     136</t>
  </si>
  <si>
    <t>Total Cleared Deposits</t>
  </si>
  <si>
    <t>JE 18617</t>
  </si>
  <si>
    <t>Record monthly bank 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</si>
</sst>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164" formatCode="\$#,##0.00"/>
    <numFmt numFmtId="165" formatCode="#,##0.00;\(#,##0.00\);&quot;-&quot;"/>
    <numFmt numFmtId="170" formatCode="mm/dd/yyyy"/>
    <numFmt numFmtId="176" formatCode="m/d/yyyy;@"/>
    <numFmt numFmtId="177" formatCode="[$-10409]m/d/yyyy"/>
    <numFmt numFmtId="178" formatCode="[$-10409]#,##0.00;\-#,##0.00"/>
  </numFmts>
  <fonts count="3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11"/>
      <color rgb="FF444444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9"/>
      <color rgb="FF000000"/>
      <name val="Calibri"/>
    </font>
    <font>
      <sz val="9"/>
      <color rgb="FF000000"/>
      <name val="Calibri"/>
    </font>
    <font>
      <b/>
      <sz val="11"/>
      <color rgb="FFCC0000"/>
      <name val="Calibri"/>
    </font>
    <font>
      <b/>
      <sz val="12"/>
      <name val="Tahoma"/>
      <family val="2"/>
    </font>
    <font>
      <sz val="8"/>
      <color rgb="FF505050"/>
      <name val="Tahoma"/>
      <family val="2"/>
    </font>
    <font>
      <b/>
      <sz val="8"/>
      <name val="Tahoma"/>
      <family val="2"/>
    </font>
    <font>
      <sz val="10"/>
      <name val="Arial"/>
      <family val="2"/>
    </font>
    <font>
      <sz val="8"/>
      <name val="Tahoma"/>
      <family val="2"/>
    </font>
    <font>
      <b/>
      <sz val="11"/>
      <color rgb="FF002060"/>
      <name val="Calibri"/>
    </font>
    <font>
      <b/>
      <u/>
      <sz val="11"/>
      <name val="Calibri"/>
    </font>
    <font>
      <sz val="11"/>
      <name val="Calibri"/>
    </font>
    <font>
      <b/>
      <sz val="11"/>
      <name val="Calibri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70C0"/>
      <name val="Calibri"/>
      <family val="2"/>
      <scheme val="minor"/>
    </font>
    <font>
      <b/>
      <sz val="8"/>
      <name val="Arial"/>
      <family val="2"/>
    </font>
    <font>
      <sz val="6.5"/>
      <color rgb="FF000000"/>
      <name val="Arial"/>
      <family val="2"/>
    </font>
    <font>
      <sz val="7"/>
      <color rgb="FF000000"/>
      <name val="Tahoma"/>
      <family val="2"/>
    </font>
    <font>
      <b/>
      <sz val="8"/>
      <color rgb="FF000000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8"/>
      <color rgb="FF000000"/>
      <name val="Tahoma"/>
      <family val="2"/>
    </font>
    <font>
      <strike/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/>
    </fill>
    <fill>
      <patternFill patternType="solid">
        <fgColor rgb="FFF2F2F2"/>
        <bgColor rgb="FFF2F2F2"/>
      </patternFill>
    </fill>
    <fill>
      <patternFill patternType="solid">
        <fgColor rgb="FF2D6F50"/>
        <bgColor rgb="FF2D6F50"/>
      </patternFill>
    </fill>
    <fill>
      <patternFill patternType="solid">
        <fgColor rgb="FFD3D3D3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1" tint="4.9989318521683403E-2"/>
        <bgColor rgb="FF002060"/>
      </patternFill>
    </fill>
    <fill>
      <patternFill patternType="solid">
        <fgColor theme="1"/>
        <bgColor rgb="FF375623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/>
      <bottom style="double">
        <color rgb="FF000000"/>
      </bottom>
      <diagonal/>
    </border>
  </borders>
  <cellStyleXfs count="3">
    <xf numFmtId="0" fontId="0" fillId="0" borderId="0"/>
    <xf numFmtId="14" fontId="11" fillId="0" borderId="0"/>
    <xf numFmtId="0" fontId="31" fillId="0" borderId="0"/>
  </cellStyleXfs>
  <cellXfs count="2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wrapText="1"/>
    </xf>
    <xf numFmtId="164" fontId="4" fillId="0" borderId="1" xfId="0" applyNumberFormat="1" applyFon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wrapText="1"/>
    </xf>
    <xf numFmtId="164" fontId="4" fillId="3" borderId="1" xfId="0" applyNumberFormat="1" applyFont="1" applyFill="1" applyBorder="1" applyAlignment="1">
      <alignment horizontal="right"/>
    </xf>
    <xf numFmtId="0" fontId="0" fillId="0" borderId="6" xfId="0" applyBorder="1"/>
    <xf numFmtId="0" fontId="0" fillId="0" borderId="5" xfId="0" applyBorder="1"/>
    <xf numFmtId="0" fontId="1" fillId="2" borderId="1" xfId="0" applyFont="1" applyFill="1" applyBorder="1" applyAlignment="1">
      <alignment horizontal="center" wrapText="1"/>
    </xf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0" fontId="3" fillId="0" borderId="1" xfId="0" applyFont="1" applyBorder="1" applyAlignment="1">
      <alignment wrapText="1"/>
    </xf>
    <xf numFmtId="164" fontId="7" fillId="0" borderId="1" xfId="0" applyNumberFormat="1" applyFont="1" applyBorder="1" applyAlignment="1">
      <alignment horizontal="right"/>
    </xf>
    <xf numFmtId="0" fontId="3" fillId="3" borderId="1" xfId="0" applyFont="1" applyFill="1" applyBorder="1" applyAlignment="1">
      <alignment wrapText="1"/>
    </xf>
    <xf numFmtId="164" fontId="7" fillId="3" borderId="1" xfId="0" applyNumberFormat="1" applyFont="1" applyFill="1" applyBorder="1" applyAlignment="1">
      <alignment horizontal="right"/>
    </xf>
    <xf numFmtId="0" fontId="10" fillId="5" borderId="7" xfId="0" applyFont="1" applyFill="1" applyBorder="1" applyAlignment="1">
      <alignment horizontal="left" vertical="center"/>
    </xf>
    <xf numFmtId="0" fontId="10" fillId="5" borderId="7" xfId="0" applyFont="1" applyFill="1" applyBorder="1" applyAlignment="1">
      <alignment horizontal="right" vertical="center"/>
    </xf>
    <xf numFmtId="0" fontId="10" fillId="5" borderId="8" xfId="0" applyFont="1" applyFill="1" applyBorder="1" applyAlignment="1">
      <alignment horizontal="left" vertical="center"/>
    </xf>
    <xf numFmtId="0" fontId="10" fillId="5" borderId="8" xfId="0" applyFont="1" applyFill="1" applyBorder="1" applyAlignment="1">
      <alignment horizontal="right" vertical="center"/>
    </xf>
    <xf numFmtId="0" fontId="12" fillId="0" borderId="0" xfId="0" applyFont="1" applyAlignment="1">
      <alignment horizontal="left" vertical="center" wrapText="1"/>
    </xf>
    <xf numFmtId="14" fontId="12" fillId="0" borderId="0" xfId="0" applyNumberFormat="1" applyFont="1" applyAlignment="1">
      <alignment horizontal="left" vertical="center" wrapText="1"/>
    </xf>
    <xf numFmtId="4" fontId="12" fillId="0" borderId="0" xfId="0" applyNumberFormat="1" applyFont="1" applyAlignment="1">
      <alignment horizontal="right" vertical="center" wrapText="1"/>
    </xf>
    <xf numFmtId="0" fontId="12" fillId="0" borderId="10" xfId="0" applyFont="1" applyBorder="1" applyAlignment="1">
      <alignment horizontal="left" vertical="center" wrapText="1"/>
    </xf>
    <xf numFmtId="14" fontId="12" fillId="0" borderId="10" xfId="0" applyNumberFormat="1" applyFont="1" applyBorder="1" applyAlignment="1">
      <alignment horizontal="left" vertical="center" wrapText="1"/>
    </xf>
    <xf numFmtId="4" fontId="12" fillId="0" borderId="10" xfId="0" applyNumberFormat="1" applyFont="1" applyBorder="1" applyAlignment="1">
      <alignment horizontal="right" vertical="center" wrapText="1"/>
    </xf>
    <xf numFmtId="0" fontId="10" fillId="0" borderId="11" xfId="0" applyFont="1" applyBorder="1" applyAlignment="1">
      <alignment horizontal="left" vertical="center"/>
    </xf>
    <xf numFmtId="0" fontId="10" fillId="0" borderId="11" xfId="0" applyFont="1" applyBorder="1" applyAlignment="1">
      <alignment horizontal="left" vertical="center" wrapText="1"/>
    </xf>
    <xf numFmtId="4" fontId="10" fillId="0" borderId="11" xfId="0" applyNumberFormat="1" applyFont="1" applyBorder="1" applyAlignment="1">
      <alignment horizontal="right" vertical="center" wrapText="1"/>
    </xf>
    <xf numFmtId="0" fontId="12" fillId="0" borderId="0" xfId="0" applyFont="1" applyAlignment="1">
      <alignment horizontal="left" vertical="center"/>
    </xf>
    <xf numFmtId="0" fontId="12" fillId="0" borderId="10" xfId="0" applyFont="1" applyBorder="1" applyAlignment="1">
      <alignment horizontal="left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2" fillId="6" borderId="9" xfId="0" applyFont="1" applyFill="1" applyBorder="1" applyAlignment="1">
      <alignment horizontal="center" vertical="center"/>
    </xf>
    <xf numFmtId="0" fontId="12" fillId="6" borderId="9" xfId="0" applyFont="1" applyFill="1" applyBorder="1" applyAlignment="1">
      <alignment horizontal="left" vertical="center"/>
    </xf>
    <xf numFmtId="0" fontId="12" fillId="6" borderId="9" xfId="0" applyFont="1" applyFill="1" applyBorder="1" applyAlignment="1">
      <alignment horizontal="right" vertical="center"/>
    </xf>
    <xf numFmtId="4" fontId="12" fillId="6" borderId="9" xfId="0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right" vertical="center"/>
    </xf>
    <xf numFmtId="0" fontId="12" fillId="0" borderId="10" xfId="0" applyFont="1" applyBorder="1" applyAlignment="1">
      <alignment horizontal="center" vertical="center"/>
    </xf>
    <xf numFmtId="14" fontId="12" fillId="0" borderId="10" xfId="0" applyNumberFormat="1" applyFont="1" applyBorder="1" applyAlignment="1">
      <alignment horizontal="center" vertical="center"/>
    </xf>
    <xf numFmtId="4" fontId="12" fillId="0" borderId="10" xfId="0" applyNumberFormat="1" applyFont="1" applyBorder="1" applyAlignment="1">
      <alignment horizontal="right" vertical="center"/>
    </xf>
    <xf numFmtId="0" fontId="10" fillId="0" borderId="11" xfId="0" applyFont="1" applyBorder="1" applyAlignment="1">
      <alignment horizontal="center" vertical="center"/>
    </xf>
    <xf numFmtId="4" fontId="10" fillId="0" borderId="11" xfId="0" applyNumberFormat="1" applyFont="1" applyBorder="1" applyAlignment="1">
      <alignment horizontal="right" vertical="center"/>
    </xf>
    <xf numFmtId="0" fontId="10" fillId="0" borderId="11" xfId="0" applyFont="1" applyBorder="1" applyAlignment="1">
      <alignment horizontal="righ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165" fontId="0" fillId="0" borderId="0" xfId="0" applyNumberFormat="1"/>
    <xf numFmtId="0" fontId="15" fillId="0" borderId="1" xfId="0" applyFont="1" applyBorder="1"/>
    <xf numFmtId="165" fontId="15" fillId="0" borderId="1" xfId="0" applyNumberFormat="1" applyFont="1" applyBorder="1" applyAlignment="1">
      <alignment horizontal="right"/>
    </xf>
    <xf numFmtId="0" fontId="15" fillId="0" borderId="1" xfId="0" applyFont="1" applyBorder="1" applyAlignment="1">
      <alignment horizontal="right"/>
    </xf>
    <xf numFmtId="0" fontId="15" fillId="3" borderId="1" xfId="0" applyFont="1" applyFill="1" applyBorder="1"/>
    <xf numFmtId="165" fontId="15" fillId="3" borderId="1" xfId="0" applyNumberFormat="1" applyFont="1" applyFill="1" applyBorder="1" applyAlignment="1">
      <alignment horizontal="right"/>
    </xf>
    <xf numFmtId="0" fontId="15" fillId="3" borderId="1" xfId="0" applyFont="1" applyFill="1" applyBorder="1" applyAlignment="1">
      <alignment horizontal="right"/>
    </xf>
    <xf numFmtId="0" fontId="16" fillId="0" borderId="0" xfId="0" applyFont="1"/>
    <xf numFmtId="0" fontId="12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4" fontId="12" fillId="0" borderId="9" xfId="0" applyNumberFormat="1" applyFont="1" applyBorder="1" applyAlignment="1">
      <alignment horizontal="right" vertical="center"/>
    </xf>
    <xf numFmtId="0" fontId="0" fillId="0" borderId="4" xfId="0" applyBorder="1"/>
    <xf numFmtId="0" fontId="0" fillId="0" borderId="0" xfId="0"/>
    <xf numFmtId="0" fontId="2" fillId="0" borderId="1" xfId="0" applyFont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0" fillId="6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wrapText="1"/>
    </xf>
    <xf numFmtId="0" fontId="12" fillId="0" borderId="10" xfId="0" applyFont="1" applyBorder="1" applyAlignment="1">
      <alignment horizontal="left" vertical="center"/>
    </xf>
    <xf numFmtId="0" fontId="11" fillId="0" borderId="10" xfId="0" applyFont="1" applyBorder="1"/>
    <xf numFmtId="0" fontId="8" fillId="0" borderId="0" xfId="0" applyFont="1" applyAlignment="1">
      <alignment horizontal="left" vertical="center"/>
    </xf>
    <xf numFmtId="0" fontId="10" fillId="6" borderId="9" xfId="0" applyFont="1" applyFill="1" applyBorder="1" applyAlignment="1">
      <alignment horizontal="left" vertical="center"/>
    </xf>
    <xf numFmtId="0" fontId="11" fillId="0" borderId="9" xfId="0" applyFont="1" applyBorder="1"/>
    <xf numFmtId="0" fontId="12" fillId="0" borderId="0" xfId="0" applyFont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1" fillId="0" borderId="11" xfId="0" applyFont="1" applyBorder="1"/>
    <xf numFmtId="0" fontId="8" fillId="0" borderId="0" xfId="0" applyFont="1" applyAlignment="1">
      <alignment horizontal="center" vertical="center"/>
    </xf>
    <xf numFmtId="0" fontId="14" fillId="0" borderId="0" xfId="0" applyFont="1"/>
    <xf numFmtId="164" fontId="0" fillId="0" borderId="0" xfId="0" applyNumberFormat="1"/>
    <xf numFmtId="0" fontId="17" fillId="2" borderId="1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3" fillId="0" borderId="1" xfId="0" applyFont="1" applyBorder="1" applyAlignment="1"/>
    <xf numFmtId="0" fontId="18" fillId="0" borderId="1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164" fontId="1" fillId="4" borderId="14" xfId="0" applyNumberFormat="1" applyFont="1" applyFill="1" applyBorder="1" applyAlignment="1">
      <alignment horizontal="left"/>
    </xf>
    <xf numFmtId="0" fontId="1" fillId="7" borderId="12" xfId="0" applyFont="1" applyFill="1" applyBorder="1" applyAlignment="1">
      <alignment horizontal="left"/>
    </xf>
    <xf numFmtId="0" fontId="1" fillId="7" borderId="13" xfId="0" applyFont="1" applyFill="1" applyBorder="1" applyAlignment="1">
      <alignment horizontal="left"/>
    </xf>
    <xf numFmtId="164" fontId="1" fillId="7" borderId="12" xfId="0" applyNumberFormat="1" applyFont="1" applyFill="1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1" fillId="4" borderId="0" xfId="0" applyFont="1" applyFill="1" applyBorder="1" applyAlignment="1">
      <alignment horizontal="left"/>
    </xf>
    <xf numFmtId="0" fontId="1" fillId="4" borderId="0" xfId="0" applyFont="1" applyFill="1" applyBorder="1" applyAlignment="1">
      <alignment horizontal="left"/>
    </xf>
    <xf numFmtId="0" fontId="19" fillId="4" borderId="0" xfId="0" applyFont="1" applyFill="1" applyBorder="1" applyAlignment="1">
      <alignment horizontal="left"/>
    </xf>
    <xf numFmtId="0" fontId="20" fillId="4" borderId="0" xfId="0" applyFont="1" applyFill="1" applyBorder="1" applyAlignment="1">
      <alignment horizontal="left"/>
    </xf>
    <xf numFmtId="164" fontId="21" fillId="0" borderId="1" xfId="0" applyNumberFormat="1" applyFont="1" applyFill="1" applyBorder="1" applyAlignment="1">
      <alignment horizontal="left"/>
    </xf>
    <xf numFmtId="0" fontId="19" fillId="4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wrapText="1"/>
    </xf>
    <xf numFmtId="0" fontId="4" fillId="0" borderId="0" xfId="0" applyFont="1" applyFill="1" applyBorder="1"/>
    <xf numFmtId="164" fontId="4" fillId="0" borderId="0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wrapText="1"/>
    </xf>
    <xf numFmtId="164" fontId="4" fillId="0" borderId="1" xfId="0" applyNumberFormat="1" applyFont="1" applyBorder="1" applyAlignment="1">
      <alignment horizontal="left"/>
    </xf>
    <xf numFmtId="0" fontId="4" fillId="3" borderId="1" xfId="0" applyFont="1" applyFill="1" applyBorder="1" applyAlignment="1">
      <alignment horizontal="left" wrapText="1"/>
    </xf>
    <xf numFmtId="164" fontId="4" fillId="3" borderId="1" xfId="0" applyNumberFormat="1" applyFont="1" applyFill="1" applyBorder="1" applyAlignment="1">
      <alignment horizontal="left"/>
    </xf>
    <xf numFmtId="0" fontId="1" fillId="7" borderId="13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2" fillId="0" borderId="1" xfId="0" applyFont="1" applyBorder="1" applyAlignment="1">
      <alignment wrapText="1"/>
    </xf>
    <xf numFmtId="0" fontId="17" fillId="2" borderId="15" xfId="0" applyFont="1" applyFill="1" applyBorder="1" applyAlignment="1">
      <alignment horizontal="center" vertical="center"/>
    </xf>
    <xf numFmtId="0" fontId="1" fillId="4" borderId="14" xfId="0" applyFont="1" applyFill="1" applyBorder="1" applyAlignment="1"/>
    <xf numFmtId="0" fontId="1" fillId="4" borderId="4" xfId="0" applyFont="1" applyFill="1" applyBorder="1" applyAlignment="1"/>
    <xf numFmtId="164" fontId="23" fillId="0" borderId="0" xfId="0" applyNumberFormat="1" applyFont="1" applyFill="1" applyBorder="1" applyAlignment="1">
      <alignment horizontal="left"/>
    </xf>
    <xf numFmtId="164" fontId="1" fillId="7" borderId="1" xfId="0" applyNumberFormat="1" applyFont="1" applyFill="1" applyBorder="1" applyAlignment="1">
      <alignment horizontal="left"/>
    </xf>
    <xf numFmtId="0" fontId="18" fillId="0" borderId="3" xfId="0" applyFont="1" applyBorder="1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0" fillId="0" borderId="0" xfId="0" applyBorder="1"/>
    <xf numFmtId="0" fontId="18" fillId="0" borderId="14" xfId="0" applyFont="1" applyBorder="1" applyAlignment="1"/>
    <xf numFmtId="0" fontId="18" fillId="0" borderId="1" xfId="0" applyFont="1" applyBorder="1" applyAlignment="1"/>
    <xf numFmtId="164" fontId="23" fillId="0" borderId="18" xfId="0" applyNumberFormat="1" applyFont="1" applyFill="1" applyBorder="1" applyAlignment="1">
      <alignment horizontal="left"/>
    </xf>
    <xf numFmtId="164" fontId="23" fillId="0" borderId="16" xfId="0" applyNumberFormat="1" applyFont="1" applyFill="1" applyBorder="1" applyAlignment="1">
      <alignment horizontal="left"/>
    </xf>
    <xf numFmtId="0" fontId="4" fillId="0" borderId="1" xfId="0" applyFont="1" applyBorder="1" applyAlignment="1"/>
    <xf numFmtId="0" fontId="4" fillId="3" borderId="1" xfId="0" applyFont="1" applyFill="1" applyBorder="1" applyAlignment="1"/>
    <xf numFmtId="7" fontId="4" fillId="3" borderId="1" xfId="0" applyNumberFormat="1" applyFont="1" applyFill="1" applyBorder="1" applyAlignment="1">
      <alignment wrapText="1"/>
    </xf>
    <xf numFmtId="7" fontId="4" fillId="3" borderId="1" xfId="0" applyNumberFormat="1" applyFont="1" applyFill="1" applyBorder="1" applyAlignment="1">
      <alignment horizontal="left"/>
    </xf>
    <xf numFmtId="7" fontId="4" fillId="3" borderId="1" xfId="0" applyNumberFormat="1" applyFont="1" applyFill="1" applyBorder="1" applyAlignment="1">
      <alignment horizontal="left" wrapText="1"/>
    </xf>
    <xf numFmtId="0" fontId="4" fillId="0" borderId="1" xfId="0" applyFont="1" applyFill="1" applyBorder="1" applyAlignment="1">
      <alignment wrapText="1"/>
    </xf>
    <xf numFmtId="7" fontId="4" fillId="0" borderId="1" xfId="0" applyNumberFormat="1" applyFont="1" applyFill="1" applyBorder="1" applyAlignment="1">
      <alignment horizontal="left" wrapText="1"/>
    </xf>
    <xf numFmtId="7" fontId="4" fillId="0" borderId="1" xfId="0" applyNumberFormat="1" applyFont="1" applyFill="1" applyBorder="1" applyAlignment="1">
      <alignment horizontal="left"/>
    </xf>
    <xf numFmtId="0" fontId="4" fillId="0" borderId="2" xfId="0" applyFont="1" applyFill="1" applyBorder="1"/>
    <xf numFmtId="0" fontId="4" fillId="0" borderId="2" xfId="0" applyFont="1" applyFill="1" applyBorder="1" applyAlignment="1"/>
    <xf numFmtId="164" fontId="4" fillId="0" borderId="2" xfId="0" applyNumberFormat="1" applyFont="1" applyFill="1" applyBorder="1" applyAlignment="1">
      <alignment horizontal="right"/>
    </xf>
    <xf numFmtId="0" fontId="4" fillId="0" borderId="3" xfId="0" applyFont="1" applyBorder="1" applyAlignment="1">
      <alignment wrapText="1"/>
    </xf>
    <xf numFmtId="164" fontId="4" fillId="0" borderId="3" xfId="0" applyNumberFormat="1" applyFont="1" applyBorder="1" applyAlignment="1">
      <alignment horizontal="right"/>
    </xf>
    <xf numFmtId="0" fontId="4" fillId="0" borderId="2" xfId="0" applyFont="1" applyBorder="1"/>
    <xf numFmtId="164" fontId="4" fillId="0" borderId="2" xfId="0" applyNumberFormat="1" applyFont="1" applyBorder="1" applyAlignment="1">
      <alignment horizontal="right"/>
    </xf>
    <xf numFmtId="0" fontId="17" fillId="2" borderId="0" xfId="0" applyFont="1" applyFill="1" applyBorder="1" applyAlignment="1">
      <alignment horizontal="center" vertical="center"/>
    </xf>
    <xf numFmtId="0" fontId="20" fillId="4" borderId="0" xfId="0" applyFont="1" applyFill="1" applyBorder="1" applyAlignment="1">
      <alignment horizontal="left"/>
    </xf>
    <xf numFmtId="0" fontId="1" fillId="4" borderId="0" xfId="0" applyFont="1" applyFill="1" applyBorder="1" applyAlignment="1"/>
    <xf numFmtId="0" fontId="20" fillId="4" borderId="0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left"/>
    </xf>
    <xf numFmtId="0" fontId="1" fillId="7" borderId="17" xfId="0" applyFont="1" applyFill="1" applyBorder="1" applyAlignment="1">
      <alignment horizontal="left"/>
    </xf>
    <xf numFmtId="0" fontId="1" fillId="7" borderId="17" xfId="0" applyFont="1" applyFill="1" applyBorder="1" applyAlignment="1">
      <alignment horizontal="left"/>
    </xf>
    <xf numFmtId="0" fontId="5" fillId="0" borderId="2" xfId="0" applyFont="1" applyFill="1" applyBorder="1"/>
    <xf numFmtId="165" fontId="5" fillId="0" borderId="2" xfId="0" applyNumberFormat="1" applyFont="1" applyFill="1" applyBorder="1"/>
    <xf numFmtId="0" fontId="17" fillId="2" borderId="1" xfId="0" applyFont="1" applyFill="1" applyBorder="1" applyAlignment="1">
      <alignment horizontal="center" wrapText="1"/>
    </xf>
    <xf numFmtId="0" fontId="17" fillId="2" borderId="15" xfId="0" applyFont="1" applyFill="1" applyBorder="1" applyAlignment="1">
      <alignment horizontal="center" wrapText="1"/>
    </xf>
    <xf numFmtId="14" fontId="4" fillId="0" borderId="1" xfId="0" applyNumberFormat="1" applyFont="1" applyBorder="1"/>
    <xf numFmtId="14" fontId="4" fillId="3" borderId="1" xfId="0" applyNumberFormat="1" applyFont="1" applyFill="1" applyBorder="1"/>
    <xf numFmtId="14" fontId="4" fillId="0" borderId="1" xfId="0" applyNumberFormat="1" applyFont="1" applyBorder="1" applyAlignment="1">
      <alignment horizontal="left"/>
    </xf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17" fontId="24" fillId="0" borderId="0" xfId="0" applyNumberFormat="1" applyFont="1" applyAlignment="1">
      <alignment horizontal="left"/>
    </xf>
    <xf numFmtId="0" fontId="1" fillId="7" borderId="20" xfId="0" applyFont="1" applyFill="1" applyBorder="1" applyAlignment="1">
      <alignment horizontal="left"/>
    </xf>
    <xf numFmtId="0" fontId="18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18" fillId="0" borderId="17" xfId="0" applyFont="1" applyBorder="1" applyAlignment="1"/>
    <xf numFmtId="0" fontId="1" fillId="7" borderId="20" xfId="0" applyFont="1" applyFill="1" applyBorder="1" applyAlignment="1"/>
    <xf numFmtId="0" fontId="0" fillId="3" borderId="1" xfId="0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14" fontId="0" fillId="3" borderId="1" xfId="0" applyNumberFormat="1" applyFill="1" applyBorder="1" applyAlignment="1">
      <alignment horizontal="left"/>
    </xf>
    <xf numFmtId="170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70" fontId="0" fillId="3" borderId="1" xfId="0" applyNumberFormat="1" applyFill="1" applyBorder="1" applyAlignment="1">
      <alignment horizontal="left"/>
    </xf>
    <xf numFmtId="164" fontId="0" fillId="3" borderId="1" xfId="0" applyNumberFormat="1" applyFill="1" applyBorder="1" applyAlignment="1">
      <alignment horizontal="left"/>
    </xf>
    <xf numFmtId="0" fontId="1" fillId="7" borderId="12" xfId="0" applyFont="1" applyFill="1" applyBorder="1" applyAlignment="1"/>
    <xf numFmtId="0" fontId="1" fillId="7" borderId="13" xfId="0" applyFont="1" applyFill="1" applyBorder="1" applyAlignment="1"/>
    <xf numFmtId="0" fontId="1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165" fontId="15" fillId="3" borderId="1" xfId="0" applyNumberFormat="1" applyFont="1" applyFill="1" applyBorder="1" applyAlignment="1">
      <alignment horizontal="left"/>
    </xf>
    <xf numFmtId="0" fontId="17" fillId="8" borderId="1" xfId="0" applyFont="1" applyFill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left"/>
    </xf>
    <xf numFmtId="14" fontId="15" fillId="3" borderId="1" xfId="0" applyNumberFormat="1" applyFont="1" applyFill="1" applyBorder="1" applyAlignment="1">
      <alignment horizontal="left"/>
    </xf>
    <xf numFmtId="0" fontId="1" fillId="4" borderId="3" xfId="0" applyFont="1" applyFill="1" applyBorder="1" applyAlignment="1"/>
    <xf numFmtId="0" fontId="1" fillId="7" borderId="21" xfId="0" applyFont="1" applyFill="1" applyBorder="1" applyAlignment="1"/>
    <xf numFmtId="0" fontId="18" fillId="0" borderId="19" xfId="0" applyFont="1" applyBorder="1" applyAlignment="1"/>
    <xf numFmtId="0" fontId="15" fillId="0" borderId="16" xfId="0" applyFont="1" applyFill="1" applyBorder="1"/>
    <xf numFmtId="0" fontId="15" fillId="0" borderId="17" xfId="0" applyFont="1" applyFill="1" applyBorder="1"/>
    <xf numFmtId="165" fontId="15" fillId="0" borderId="0" xfId="0" applyNumberFormat="1" applyFont="1" applyFill="1" applyBorder="1" applyAlignment="1">
      <alignment horizontal="left"/>
    </xf>
    <xf numFmtId="14" fontId="15" fillId="0" borderId="0" xfId="0" applyNumberFormat="1" applyFont="1" applyFill="1" applyBorder="1" applyAlignment="1">
      <alignment horizontal="left"/>
    </xf>
    <xf numFmtId="165" fontId="15" fillId="0" borderId="15" xfId="0" applyNumberFormat="1" applyFont="1" applyFill="1" applyBorder="1" applyAlignment="1">
      <alignment horizontal="left"/>
    </xf>
    <xf numFmtId="165" fontId="15" fillId="0" borderId="16" xfId="0" applyNumberFormat="1" applyFont="1" applyFill="1" applyBorder="1" applyAlignment="1">
      <alignment horizontal="left"/>
    </xf>
    <xf numFmtId="165" fontId="1" fillId="7" borderId="12" xfId="0" applyNumberFormat="1" applyFont="1" applyFill="1" applyBorder="1" applyAlignment="1">
      <alignment horizontal="left"/>
    </xf>
    <xf numFmtId="176" fontId="26" fillId="0" borderId="0" xfId="0" applyNumberFormat="1" applyFont="1" applyBorder="1" applyAlignment="1">
      <alignment vertical="center" shrinkToFit="1"/>
    </xf>
    <xf numFmtId="0" fontId="0" fillId="0" borderId="0" xfId="0" applyBorder="1" applyAlignment="1">
      <alignment vertical="top"/>
    </xf>
    <xf numFmtId="0" fontId="0" fillId="0" borderId="0" xfId="0" applyBorder="1" applyAlignment="1"/>
    <xf numFmtId="0" fontId="0" fillId="0" borderId="0" xfId="0" applyBorder="1" applyAlignment="1">
      <alignment vertical="center"/>
    </xf>
    <xf numFmtId="0" fontId="25" fillId="0" borderId="0" xfId="0" applyFont="1" applyBorder="1" applyAlignment="1">
      <alignment vertical="top"/>
    </xf>
    <xf numFmtId="4" fontId="28" fillId="0" borderId="0" xfId="0" applyNumberFormat="1" applyFont="1" applyBorder="1" applyAlignment="1">
      <alignment vertical="top" shrinkToFit="1"/>
    </xf>
    <xf numFmtId="176" fontId="26" fillId="0" borderId="0" xfId="0" applyNumberFormat="1" applyFont="1" applyBorder="1" applyAlignment="1">
      <alignment vertical="top" shrinkToFit="1"/>
    </xf>
    <xf numFmtId="0" fontId="29" fillId="0" borderId="0" xfId="0" applyFont="1" applyBorder="1" applyAlignment="1">
      <alignment vertical="top"/>
    </xf>
    <xf numFmtId="176" fontId="30" fillId="0" borderId="0" xfId="0" applyNumberFormat="1" applyFont="1" applyBorder="1" applyAlignment="1">
      <alignment vertical="top" shrinkToFit="1"/>
    </xf>
    <xf numFmtId="0" fontId="23" fillId="0" borderId="0" xfId="2" applyFont="1"/>
    <xf numFmtId="0" fontId="32" fillId="0" borderId="0" xfId="2" applyFont="1" applyAlignment="1">
      <alignment horizontal="center" vertical="top" wrapText="1" readingOrder="1"/>
    </xf>
    <xf numFmtId="0" fontId="23" fillId="0" borderId="0" xfId="2" applyFont="1"/>
    <xf numFmtId="177" fontId="26" fillId="0" borderId="0" xfId="2" applyNumberFormat="1" applyFont="1" applyAlignment="1">
      <alignment horizontal="right" vertical="top" wrapText="1" readingOrder="1"/>
    </xf>
    <xf numFmtId="177" fontId="32" fillId="0" borderId="0" xfId="2" applyNumberFormat="1" applyFont="1" applyAlignment="1">
      <alignment horizontal="center" vertical="top" wrapText="1" readingOrder="1"/>
    </xf>
    <xf numFmtId="0" fontId="28" fillId="0" borderId="0" xfId="2" applyFont="1" applyAlignment="1">
      <alignment horizontal="center" vertical="top" wrapText="1" readingOrder="1"/>
    </xf>
    <xf numFmtId="177" fontId="27" fillId="0" borderId="0" xfId="2" applyNumberFormat="1" applyFont="1" applyAlignment="1">
      <alignment horizontal="left" vertical="top" wrapText="1" readingOrder="1"/>
    </xf>
    <xf numFmtId="0" fontId="27" fillId="0" borderId="0" xfId="2" applyFont="1" applyAlignment="1">
      <alignment horizontal="center" vertical="top" wrapText="1" readingOrder="1"/>
    </xf>
    <xf numFmtId="0" fontId="27" fillId="0" borderId="0" xfId="2" applyFont="1" applyAlignment="1">
      <alignment horizontal="left" vertical="top" wrapText="1" readingOrder="1"/>
    </xf>
    <xf numFmtId="178" fontId="27" fillId="0" borderId="0" xfId="2" applyNumberFormat="1" applyFont="1" applyAlignment="1">
      <alignment horizontal="right" vertical="top" wrapText="1" readingOrder="1"/>
    </xf>
    <xf numFmtId="0" fontId="28" fillId="0" borderId="0" xfId="2" applyFont="1" applyAlignment="1">
      <alignment vertical="top" wrapText="1" readingOrder="1"/>
    </xf>
    <xf numFmtId="178" fontId="28" fillId="0" borderId="0" xfId="2" applyNumberFormat="1" applyFont="1" applyAlignment="1">
      <alignment vertical="top" wrapText="1" readingOrder="1"/>
    </xf>
    <xf numFmtId="0" fontId="28" fillId="0" borderId="0" xfId="2" applyFont="1" applyAlignment="1">
      <alignment horizontal="left" vertical="top" wrapText="1" readingOrder="1"/>
    </xf>
    <xf numFmtId="0" fontId="27" fillId="0" borderId="7" xfId="2" applyFont="1" applyBorder="1" applyAlignment="1">
      <alignment horizontal="left" vertical="top" wrapText="1" readingOrder="1"/>
    </xf>
    <xf numFmtId="0" fontId="23" fillId="0" borderId="7" xfId="2" applyFont="1" applyBorder="1" applyAlignment="1">
      <alignment vertical="top" wrapText="1"/>
    </xf>
    <xf numFmtId="0" fontId="27" fillId="0" borderId="7" xfId="2" applyFont="1" applyBorder="1" applyAlignment="1">
      <alignment horizontal="center" vertical="top" wrapText="1" readingOrder="1"/>
    </xf>
    <xf numFmtId="0" fontId="27" fillId="0" borderId="7" xfId="2" applyFont="1" applyBorder="1" applyAlignment="1">
      <alignment horizontal="right" vertical="top" wrapText="1" readingOrder="1"/>
    </xf>
    <xf numFmtId="178" fontId="28" fillId="0" borderId="7" xfId="2" applyNumberFormat="1" applyFont="1" applyBorder="1" applyAlignment="1">
      <alignment horizontal="right" vertical="top" wrapText="1" readingOrder="1"/>
    </xf>
    <xf numFmtId="0" fontId="33" fillId="0" borderId="0" xfId="2" applyFont="1" applyAlignment="1">
      <alignment vertical="top" wrapText="1" readingOrder="1"/>
    </xf>
    <xf numFmtId="178" fontId="28" fillId="0" borderId="22" xfId="2" applyNumberFormat="1" applyFont="1" applyBorder="1" applyAlignment="1">
      <alignment vertical="top" wrapText="1" readingOrder="1"/>
    </xf>
    <xf numFmtId="0" fontId="23" fillId="0" borderId="22" xfId="2" applyFont="1" applyBorder="1" applyAlignment="1">
      <alignment vertical="top" wrapText="1"/>
    </xf>
    <xf numFmtId="0" fontId="34" fillId="0" borderId="0" xfId="2" applyFont="1" applyAlignment="1">
      <alignment vertical="top" wrapText="1" readingOrder="1"/>
    </xf>
    <xf numFmtId="0" fontId="33" fillId="0" borderId="7" xfId="2" applyFont="1" applyBorder="1" applyAlignment="1">
      <alignment vertical="top" wrapText="1" readingOrder="1"/>
    </xf>
    <xf numFmtId="0" fontId="35" fillId="0" borderId="0" xfId="2" applyFont="1" applyAlignment="1">
      <alignment vertical="top" wrapText="1" readingOrder="1"/>
    </xf>
    <xf numFmtId="177" fontId="30" fillId="0" borderId="0" xfId="2" applyNumberFormat="1" applyFont="1" applyAlignment="1">
      <alignment horizontal="left" vertical="top" wrapText="1" readingOrder="1"/>
    </xf>
    <xf numFmtId="0" fontId="30" fillId="0" borderId="0" xfId="2" applyFont="1" applyAlignment="1">
      <alignment horizontal="center" vertical="top" wrapText="1" readingOrder="1"/>
    </xf>
    <xf numFmtId="0" fontId="30" fillId="0" borderId="0" xfId="2" applyFont="1" applyAlignment="1">
      <alignment horizontal="left" vertical="top" wrapText="1" readingOrder="1"/>
    </xf>
    <xf numFmtId="178" fontId="30" fillId="0" borderId="0" xfId="2" applyNumberFormat="1" applyFont="1" applyAlignment="1">
      <alignment horizontal="right" vertical="top" wrapText="1" readingOrder="1"/>
    </xf>
    <xf numFmtId="177" fontId="30" fillId="0" borderId="0" xfId="2" applyNumberFormat="1" applyFont="1" applyAlignment="1">
      <alignment horizontal="right" vertical="top" wrapText="1" readingOrder="1"/>
    </xf>
    <xf numFmtId="178" fontId="28" fillId="0" borderId="8" xfId="2" applyNumberFormat="1" applyFont="1" applyBorder="1" applyAlignment="1">
      <alignment vertical="top" wrapText="1" readingOrder="1"/>
    </xf>
    <xf numFmtId="0" fontId="23" fillId="0" borderId="8" xfId="2" applyFont="1" applyBorder="1" applyAlignment="1">
      <alignment vertical="top" wrapText="1"/>
    </xf>
    <xf numFmtId="0" fontId="36" fillId="0" borderId="9" xfId="2" applyFont="1" applyBorder="1" applyAlignment="1">
      <alignment vertical="top" wrapText="1" readingOrder="1"/>
    </xf>
    <xf numFmtId="0" fontId="23" fillId="0" borderId="9" xfId="2" applyFont="1" applyBorder="1" applyAlignment="1">
      <alignment vertical="top" wrapText="1"/>
    </xf>
    <xf numFmtId="0" fontId="23" fillId="0" borderId="0" xfId="2" applyFont="1"/>
    <xf numFmtId="177" fontId="26" fillId="0" borderId="0" xfId="2" applyNumberFormat="1" applyFont="1" applyAlignment="1">
      <alignment horizontal="right" vertical="top" wrapText="1" readingOrder="1"/>
    </xf>
    <xf numFmtId="0" fontId="33" fillId="0" borderId="0" xfId="2" applyFont="1" applyAlignment="1">
      <alignment vertical="top" wrapText="1" readingOrder="1"/>
    </xf>
    <xf numFmtId="0" fontId="23" fillId="0" borderId="0" xfId="2" applyFont="1"/>
  </cellXfs>
  <cellStyles count="3">
    <cellStyle name="Normal" xfId="0" builtinId="0"/>
    <cellStyle name="Normal 2" xfId="2" xr:uid="{508BB68E-C665-48D2-A941-C4A9550B0C99}"/>
    <cellStyle name="Normal 4 5" xfId="1" xr:uid="{0E521E83-4410-4B1C-8E42-1E28139CA4BA}"/>
  </cellStyles>
  <dxfs count="0"/>
  <tableStyles count="0" defaultTableStyle="TableStyleMedium9" defaultPivotStyle="PivotStyleLight16"/>
  <colors>
    <mruColors>
      <color rgb="FF2D6F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692138-732F-423E-9D85-12119CB470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cb87cea-7071-4261-8bfd-5b9d86f0d57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89B5-FDE8-4CA1-B606-86F46BFE44E0}">
  <dimension ref="B2:C4"/>
  <sheetViews>
    <sheetView tabSelected="1" workbookViewId="0"/>
  </sheetViews>
  <sheetFormatPr defaultRowHeight="14.4" x14ac:dyDescent="0.3"/>
  <cols>
    <col min="1" max="1" width="1.21875" customWidth="1"/>
    <col min="3" max="3" width="22.44140625" bestFit="1" customWidth="1"/>
  </cols>
  <sheetData>
    <row r="2" spans="2:3" x14ac:dyDescent="0.3">
      <c r="B2" t="s">
        <v>684</v>
      </c>
      <c r="C2" t="s">
        <v>686</v>
      </c>
    </row>
    <row r="3" spans="2:3" x14ac:dyDescent="0.3">
      <c r="B3" t="s">
        <v>685</v>
      </c>
      <c r="C3" t="s">
        <v>687</v>
      </c>
    </row>
    <row r="4" spans="2:3" x14ac:dyDescent="0.3">
      <c r="B4" t="s">
        <v>1</v>
      </c>
      <c r="C4" s="155">
        <v>46053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AI97"/>
  <sheetViews>
    <sheetView topLeftCell="A5" workbookViewId="0"/>
  </sheetViews>
  <sheetFormatPr defaultRowHeight="14.4" x14ac:dyDescent="0.3"/>
  <cols>
    <col min="1" max="35" width="8.88671875" style="117"/>
  </cols>
  <sheetData>
    <row r="1" spans="1:19" ht="14.4" customHeight="1" x14ac:dyDescent="0.3">
      <c r="A1" s="190"/>
      <c r="B1" s="190"/>
      <c r="C1" s="191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</row>
    <row r="2" spans="1:19" ht="30" customHeight="1" x14ac:dyDescent="0.3">
      <c r="A2" s="191"/>
      <c r="B2" s="191"/>
      <c r="C2" s="191"/>
      <c r="D2" s="199"/>
      <c r="E2" s="200" t="s">
        <v>707</v>
      </c>
      <c r="F2" s="201"/>
      <c r="G2" s="201"/>
      <c r="H2" s="201"/>
      <c r="I2" s="201"/>
      <c r="J2" s="201"/>
      <c r="K2" s="201"/>
      <c r="L2" s="201"/>
      <c r="M2" s="201"/>
      <c r="N2" s="199"/>
      <c r="O2" s="199"/>
      <c r="P2" s="199"/>
      <c r="Q2" s="202">
        <v>46155.414171411998</v>
      </c>
      <c r="R2" s="201"/>
      <c r="S2" s="201"/>
    </row>
    <row r="3" spans="1:19" ht="14.4" customHeight="1" x14ac:dyDescent="0.3">
      <c r="A3" s="192"/>
      <c r="B3" s="192"/>
      <c r="C3" s="192"/>
      <c r="D3" s="199"/>
      <c r="E3" s="201"/>
      <c r="F3" s="201"/>
      <c r="G3" s="201"/>
      <c r="H3" s="201"/>
      <c r="I3" s="201"/>
      <c r="J3" s="201"/>
      <c r="K3" s="201"/>
      <c r="L3" s="201"/>
      <c r="M3" s="201"/>
      <c r="N3" s="199"/>
      <c r="O3" s="199"/>
      <c r="P3" s="199"/>
      <c r="Q3" s="199"/>
      <c r="R3" s="199"/>
      <c r="S3" s="199"/>
    </row>
    <row r="4" spans="1:19" ht="14.4" customHeight="1" x14ac:dyDescent="0.3">
      <c r="A4" s="192"/>
      <c r="B4" s="192"/>
      <c r="C4" s="192"/>
      <c r="D4" s="199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199"/>
      <c r="P4" s="199"/>
      <c r="Q4" s="199"/>
      <c r="R4" s="199"/>
      <c r="S4" s="199"/>
    </row>
    <row r="5" spans="1:19" ht="18" customHeight="1" x14ac:dyDescent="0.3">
      <c r="A5" s="192"/>
      <c r="B5" s="192"/>
      <c r="C5" s="192"/>
      <c r="D5" s="200" t="s">
        <v>708</v>
      </c>
      <c r="E5" s="201"/>
      <c r="F5" s="201"/>
      <c r="G5" s="201"/>
      <c r="H5" s="201"/>
      <c r="I5" s="201"/>
      <c r="J5" s="201"/>
      <c r="K5" s="201"/>
      <c r="L5" s="201"/>
      <c r="M5" s="201"/>
      <c r="N5" s="199"/>
      <c r="O5" s="199"/>
      <c r="P5" s="199"/>
      <c r="Q5" s="199"/>
      <c r="R5" s="199"/>
      <c r="S5" s="199"/>
    </row>
    <row r="6" spans="1:19" ht="14.4" customHeight="1" x14ac:dyDescent="0.3">
      <c r="A6" s="192"/>
      <c r="B6" s="192"/>
      <c r="C6" s="192"/>
      <c r="D6" s="199"/>
      <c r="E6" s="199"/>
      <c r="F6" s="199"/>
      <c r="G6" s="199"/>
      <c r="H6" s="199"/>
      <c r="I6" s="199"/>
      <c r="J6" s="199"/>
      <c r="K6" s="199"/>
      <c r="L6" s="199"/>
      <c r="M6" s="199"/>
      <c r="N6" s="199"/>
      <c r="O6" s="199"/>
      <c r="P6" s="199"/>
      <c r="Q6" s="199"/>
      <c r="R6" s="199"/>
      <c r="S6" s="199"/>
    </row>
    <row r="7" spans="1:19" ht="14.4" customHeight="1" x14ac:dyDescent="0.3">
      <c r="A7" s="192"/>
      <c r="B7" s="192"/>
      <c r="C7" s="192"/>
      <c r="D7" s="199"/>
      <c r="E7" s="203">
        <v>46047</v>
      </c>
      <c r="F7" s="201"/>
      <c r="G7" s="201"/>
      <c r="H7" s="201"/>
      <c r="I7" s="201"/>
      <c r="J7" s="201"/>
      <c r="K7" s="201"/>
      <c r="L7" s="201"/>
      <c r="M7" s="201"/>
      <c r="N7" s="199"/>
      <c r="O7" s="199"/>
      <c r="P7" s="199"/>
      <c r="Q7" s="199"/>
      <c r="R7" s="199"/>
      <c r="S7" s="199"/>
    </row>
    <row r="8" spans="1:19" ht="14.4" customHeight="1" x14ac:dyDescent="0.3">
      <c r="A8" s="192"/>
      <c r="B8" s="192"/>
      <c r="C8" s="192"/>
      <c r="D8" s="199"/>
      <c r="E8" s="199"/>
      <c r="F8" s="199"/>
      <c r="G8" s="199"/>
      <c r="H8" s="199"/>
      <c r="I8" s="199"/>
      <c r="J8" s="199"/>
      <c r="K8" s="199"/>
      <c r="L8" s="199"/>
      <c r="M8" s="199"/>
      <c r="N8" s="199"/>
      <c r="O8" s="199"/>
      <c r="P8" s="199"/>
      <c r="Q8" s="199"/>
      <c r="R8" s="199"/>
      <c r="S8" s="199"/>
    </row>
    <row r="9" spans="1:19" ht="14.4" customHeight="1" x14ac:dyDescent="0.3">
      <c r="A9" s="192"/>
      <c r="B9" s="192"/>
      <c r="C9" s="192"/>
      <c r="D9" s="199"/>
      <c r="E9" s="204" t="s">
        <v>709</v>
      </c>
      <c r="F9" s="201"/>
      <c r="G9" s="201"/>
      <c r="H9" s="201"/>
      <c r="I9" s="201"/>
      <c r="J9" s="201"/>
      <c r="K9" s="201"/>
      <c r="L9" s="201"/>
      <c r="M9" s="201"/>
      <c r="N9" s="199"/>
      <c r="O9" s="199"/>
      <c r="P9" s="199"/>
      <c r="Q9" s="199"/>
      <c r="R9" s="199"/>
      <c r="S9" s="199"/>
    </row>
    <row r="10" spans="1:19" ht="14.4" customHeight="1" x14ac:dyDescent="0.3">
      <c r="A10" s="192"/>
      <c r="B10" s="192"/>
      <c r="C10" s="192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</row>
    <row r="11" spans="1:19" ht="14.4" customHeight="1" x14ac:dyDescent="0.3">
      <c r="A11" s="192"/>
      <c r="B11" s="192"/>
      <c r="C11" s="192"/>
      <c r="D11" s="199"/>
      <c r="E11" s="204" t="s">
        <v>710</v>
      </c>
      <c r="F11" s="201"/>
      <c r="G11" s="201"/>
      <c r="H11" s="201"/>
      <c r="I11" s="201"/>
      <c r="J11" s="201"/>
      <c r="K11" s="201"/>
      <c r="L11" s="201"/>
      <c r="M11" s="201"/>
      <c r="N11" s="199"/>
      <c r="O11" s="199"/>
      <c r="P11" s="199"/>
      <c r="Q11" s="199"/>
      <c r="R11" s="199"/>
      <c r="S11" s="199"/>
    </row>
    <row r="12" spans="1:19" ht="14.4" customHeight="1" x14ac:dyDescent="0.3">
      <c r="A12" s="192"/>
      <c r="B12" s="192"/>
      <c r="C12" s="192"/>
      <c r="D12" s="199"/>
      <c r="E12" s="199"/>
      <c r="F12" s="199"/>
      <c r="G12" s="199"/>
      <c r="H12" s="199"/>
      <c r="I12" s="199"/>
      <c r="J12" s="199"/>
      <c r="K12" s="199"/>
      <c r="L12" s="199"/>
      <c r="M12" s="199"/>
      <c r="N12" s="199"/>
      <c r="O12" s="199"/>
      <c r="P12" s="199"/>
      <c r="Q12" s="199"/>
      <c r="R12" s="199"/>
      <c r="S12" s="199"/>
    </row>
    <row r="13" spans="1:19" ht="14.4" customHeight="1" x14ac:dyDescent="0.3">
      <c r="A13" s="192"/>
      <c r="B13" s="192"/>
      <c r="C13" s="192"/>
      <c r="D13" s="199"/>
      <c r="E13" s="199"/>
      <c r="F13" s="199"/>
      <c r="G13" s="199"/>
      <c r="H13" s="199"/>
      <c r="I13" s="199"/>
      <c r="J13" s="199"/>
      <c r="K13" s="199"/>
      <c r="L13" s="199"/>
      <c r="M13" s="199"/>
      <c r="N13" s="199"/>
      <c r="O13" s="199"/>
      <c r="P13" s="199"/>
      <c r="Q13" s="199"/>
      <c r="R13" s="199"/>
      <c r="S13" s="199"/>
    </row>
    <row r="14" spans="1:19" ht="14.4" customHeight="1" x14ac:dyDescent="0.3">
      <c r="A14" s="192"/>
      <c r="B14" s="192"/>
      <c r="C14" s="209" t="s">
        <v>12</v>
      </c>
      <c r="D14" s="201"/>
      <c r="E14" s="201"/>
      <c r="F14" s="201"/>
      <c r="G14" s="201"/>
      <c r="H14" s="201"/>
      <c r="I14" s="201"/>
      <c r="J14" s="201"/>
      <c r="K14" s="201"/>
      <c r="L14" s="210">
        <v>1422016.65</v>
      </c>
      <c r="M14" s="201"/>
      <c r="N14" s="201"/>
      <c r="O14" s="201"/>
      <c r="P14" s="199"/>
      <c r="Q14" s="199"/>
      <c r="R14" s="199"/>
      <c r="S14" s="199"/>
    </row>
    <row r="15" spans="1:19" ht="14.4" customHeight="1" x14ac:dyDescent="0.3">
      <c r="A15" s="192"/>
      <c r="B15" s="192"/>
      <c r="C15" s="211" t="s">
        <v>15</v>
      </c>
      <c r="D15" s="201"/>
      <c r="E15" s="201"/>
      <c r="F15" s="201"/>
      <c r="G15" s="201"/>
      <c r="H15" s="201"/>
      <c r="I15" s="201"/>
      <c r="J15" s="201"/>
      <c r="K15" s="201"/>
      <c r="L15" s="201"/>
      <c r="M15" s="201"/>
      <c r="N15" s="201"/>
      <c r="O15" s="201"/>
      <c r="P15" s="199"/>
      <c r="Q15" s="199"/>
      <c r="R15" s="199"/>
      <c r="S15" s="199"/>
    </row>
    <row r="16" spans="1:19" ht="14.4" customHeight="1" x14ac:dyDescent="0.3">
      <c r="A16" s="192"/>
      <c r="B16" s="192"/>
      <c r="C16" s="212" t="s">
        <v>301</v>
      </c>
      <c r="D16" s="213"/>
      <c r="E16" s="213"/>
      <c r="F16" s="213"/>
      <c r="G16" s="214" t="s">
        <v>711</v>
      </c>
      <c r="H16" s="213"/>
      <c r="I16" s="212" t="s">
        <v>16</v>
      </c>
      <c r="J16" s="213"/>
      <c r="K16" s="213"/>
      <c r="L16" s="215" t="s">
        <v>17</v>
      </c>
      <c r="M16" s="213"/>
      <c r="N16" s="213"/>
      <c r="O16" s="213"/>
      <c r="P16" s="199"/>
      <c r="Q16" s="199"/>
      <c r="R16" s="199"/>
      <c r="S16" s="199"/>
    </row>
    <row r="17" spans="1:15" ht="14.4" customHeight="1" x14ac:dyDescent="0.3">
      <c r="A17" s="192"/>
      <c r="B17" s="192"/>
      <c r="C17" s="205">
        <v>46028</v>
      </c>
      <c r="D17" s="201"/>
      <c r="E17" s="201"/>
      <c r="F17" s="201"/>
      <c r="G17" s="206" t="s">
        <v>712</v>
      </c>
      <c r="H17" s="201"/>
      <c r="I17" s="207" t="s">
        <v>18</v>
      </c>
      <c r="J17" s="201"/>
      <c r="K17" s="201"/>
      <c r="L17" s="208">
        <v>1575</v>
      </c>
      <c r="M17" s="201"/>
      <c r="N17" s="201"/>
      <c r="O17" s="201"/>
    </row>
    <row r="18" spans="1:15" ht="14.4" customHeight="1" x14ac:dyDescent="0.3">
      <c r="A18" s="192"/>
      <c r="B18" s="192"/>
      <c r="C18" s="205">
        <v>46028</v>
      </c>
      <c r="D18" s="201"/>
      <c r="E18" s="201"/>
      <c r="F18" s="201"/>
      <c r="G18" s="206" t="s">
        <v>713</v>
      </c>
      <c r="H18" s="201"/>
      <c r="I18" s="207" t="s">
        <v>19</v>
      </c>
      <c r="J18" s="201"/>
      <c r="K18" s="201"/>
      <c r="L18" s="208">
        <v>7151.23</v>
      </c>
      <c r="M18" s="201"/>
      <c r="N18" s="201"/>
      <c r="O18" s="201"/>
    </row>
    <row r="19" spans="1:15" ht="14.4" customHeight="1" x14ac:dyDescent="0.3">
      <c r="A19" s="192"/>
      <c r="B19" s="192"/>
      <c r="C19" s="205">
        <v>46036</v>
      </c>
      <c r="D19" s="201"/>
      <c r="E19" s="201"/>
      <c r="F19" s="201"/>
      <c r="G19" s="206" t="s">
        <v>714</v>
      </c>
      <c r="H19" s="201"/>
      <c r="I19" s="207" t="s">
        <v>20</v>
      </c>
      <c r="J19" s="201"/>
      <c r="K19" s="201"/>
      <c r="L19" s="208">
        <v>837.47</v>
      </c>
      <c r="M19" s="201"/>
      <c r="N19" s="201"/>
      <c r="O19" s="201"/>
    </row>
    <row r="20" spans="1:15" ht="14.4" customHeight="1" x14ac:dyDescent="0.3">
      <c r="A20" s="192"/>
      <c r="B20" s="192"/>
      <c r="C20" s="205">
        <v>46036</v>
      </c>
      <c r="D20" s="201"/>
      <c r="E20" s="201"/>
      <c r="F20" s="201"/>
      <c r="G20" s="206" t="s">
        <v>715</v>
      </c>
      <c r="H20" s="201"/>
      <c r="I20" s="207" t="s">
        <v>21</v>
      </c>
      <c r="J20" s="201"/>
      <c r="K20" s="201"/>
      <c r="L20" s="208">
        <v>439.36</v>
      </c>
      <c r="M20" s="201"/>
      <c r="N20" s="201"/>
      <c r="O20" s="201"/>
    </row>
    <row r="21" spans="1:15" ht="14.4" customHeight="1" x14ac:dyDescent="0.3">
      <c r="A21" s="193"/>
      <c r="B21" s="193"/>
      <c r="C21" s="205">
        <v>46036</v>
      </c>
      <c r="D21" s="201"/>
      <c r="E21" s="201"/>
      <c r="F21" s="201"/>
      <c r="G21" s="206" t="s">
        <v>716</v>
      </c>
      <c r="H21" s="201"/>
      <c r="I21" s="207" t="s">
        <v>22</v>
      </c>
      <c r="J21" s="201"/>
      <c r="K21" s="201"/>
      <c r="L21" s="208">
        <v>732.26</v>
      </c>
      <c r="M21" s="201"/>
      <c r="N21" s="201"/>
      <c r="O21" s="201"/>
    </row>
    <row r="22" spans="1:15" ht="14.4" customHeight="1" x14ac:dyDescent="0.3">
      <c r="A22" s="194"/>
      <c r="B22" s="194"/>
      <c r="C22" s="205">
        <v>46036</v>
      </c>
      <c r="D22" s="201"/>
      <c r="E22" s="201"/>
      <c r="F22" s="201"/>
      <c r="G22" s="206" t="s">
        <v>717</v>
      </c>
      <c r="H22" s="201"/>
      <c r="I22" s="207" t="s">
        <v>23</v>
      </c>
      <c r="J22" s="201"/>
      <c r="K22" s="201"/>
      <c r="L22" s="208">
        <v>102.28</v>
      </c>
      <c r="M22" s="201"/>
      <c r="N22" s="201"/>
      <c r="O22" s="201"/>
    </row>
    <row r="23" spans="1:15" ht="14.4" customHeight="1" x14ac:dyDescent="0.3">
      <c r="A23" s="195"/>
      <c r="B23" s="195"/>
      <c r="C23" s="205">
        <v>46042</v>
      </c>
      <c r="D23" s="201"/>
      <c r="E23" s="201"/>
      <c r="F23" s="201"/>
      <c r="G23" s="206" t="s">
        <v>718</v>
      </c>
      <c r="H23" s="201"/>
      <c r="I23" s="207" t="s">
        <v>24</v>
      </c>
      <c r="J23" s="201"/>
      <c r="K23" s="201"/>
      <c r="L23" s="208">
        <v>215.42</v>
      </c>
      <c r="M23" s="201"/>
      <c r="N23" s="201"/>
      <c r="O23" s="201"/>
    </row>
    <row r="24" spans="1:15" ht="14.4" customHeight="1" x14ac:dyDescent="0.3">
      <c r="A24" s="195"/>
      <c r="B24" s="195"/>
      <c r="C24" s="205">
        <v>46042</v>
      </c>
      <c r="D24" s="201"/>
      <c r="E24" s="201"/>
      <c r="F24" s="201"/>
      <c r="G24" s="206" t="s">
        <v>719</v>
      </c>
      <c r="H24" s="201"/>
      <c r="I24" s="207" t="s">
        <v>25</v>
      </c>
      <c r="J24" s="201"/>
      <c r="K24" s="201"/>
      <c r="L24" s="208">
        <v>1021.66</v>
      </c>
      <c r="M24" s="201"/>
      <c r="N24" s="201"/>
      <c r="O24" s="201"/>
    </row>
    <row r="25" spans="1:15" ht="14.4" customHeight="1" x14ac:dyDescent="0.3">
      <c r="A25" s="191"/>
      <c r="B25" s="191"/>
      <c r="C25" s="205">
        <v>46042</v>
      </c>
      <c r="D25" s="201"/>
      <c r="E25" s="201"/>
      <c r="F25" s="201"/>
      <c r="G25" s="206" t="s">
        <v>720</v>
      </c>
      <c r="H25" s="201"/>
      <c r="I25" s="207" t="s">
        <v>26</v>
      </c>
      <c r="J25" s="201"/>
      <c r="K25" s="201"/>
      <c r="L25" s="208">
        <v>77.02</v>
      </c>
      <c r="M25" s="201"/>
      <c r="N25" s="201"/>
      <c r="O25" s="201"/>
    </row>
    <row r="26" spans="1:15" ht="14.4" customHeight="1" x14ac:dyDescent="0.3">
      <c r="A26" s="193"/>
      <c r="B26" s="193"/>
      <c r="C26" s="205">
        <v>46042</v>
      </c>
      <c r="D26" s="201"/>
      <c r="E26" s="201"/>
      <c r="F26" s="201"/>
      <c r="G26" s="206" t="s">
        <v>721</v>
      </c>
      <c r="H26" s="201"/>
      <c r="I26" s="207" t="s">
        <v>27</v>
      </c>
      <c r="J26" s="201"/>
      <c r="K26" s="201"/>
      <c r="L26" s="208">
        <v>2903.75</v>
      </c>
      <c r="M26" s="201"/>
      <c r="N26" s="201"/>
      <c r="O26" s="201"/>
    </row>
    <row r="27" spans="1:15" ht="14.4" customHeight="1" x14ac:dyDescent="0.3">
      <c r="A27" s="191"/>
      <c r="B27" s="191"/>
      <c r="C27" s="205">
        <v>46042</v>
      </c>
      <c r="D27" s="201"/>
      <c r="E27" s="201"/>
      <c r="F27" s="201"/>
      <c r="G27" s="206" t="s">
        <v>722</v>
      </c>
      <c r="H27" s="201"/>
      <c r="I27" s="207" t="s">
        <v>28</v>
      </c>
      <c r="J27" s="201"/>
      <c r="K27" s="201"/>
      <c r="L27" s="208">
        <v>1193.82</v>
      </c>
      <c r="M27" s="201"/>
      <c r="N27" s="201"/>
      <c r="O27" s="201"/>
    </row>
    <row r="28" spans="1:15" ht="14.4" customHeight="1" x14ac:dyDescent="0.3">
      <c r="A28" s="193"/>
      <c r="B28" s="193"/>
      <c r="C28" s="205">
        <v>46042</v>
      </c>
      <c r="D28" s="201"/>
      <c r="E28" s="201"/>
      <c r="F28" s="201"/>
      <c r="G28" s="206" t="s">
        <v>723</v>
      </c>
      <c r="H28" s="201"/>
      <c r="I28" s="207" t="s">
        <v>29</v>
      </c>
      <c r="J28" s="201"/>
      <c r="K28" s="201"/>
      <c r="L28" s="208">
        <v>2714</v>
      </c>
      <c r="M28" s="201"/>
      <c r="N28" s="201"/>
      <c r="O28" s="201"/>
    </row>
    <row r="29" spans="1:15" ht="14.4" customHeight="1" x14ac:dyDescent="0.3">
      <c r="A29" s="192"/>
      <c r="B29" s="192"/>
      <c r="C29" s="205">
        <v>46042</v>
      </c>
      <c r="D29" s="201"/>
      <c r="E29" s="201"/>
      <c r="F29" s="201"/>
      <c r="G29" s="206" t="s">
        <v>724</v>
      </c>
      <c r="H29" s="201"/>
      <c r="I29" s="207" t="s">
        <v>30</v>
      </c>
      <c r="J29" s="201"/>
      <c r="K29" s="201"/>
      <c r="L29" s="208">
        <v>1350</v>
      </c>
      <c r="M29" s="201"/>
      <c r="N29" s="201"/>
      <c r="O29" s="201"/>
    </row>
    <row r="30" spans="1:15" ht="14.4" customHeight="1" x14ac:dyDescent="0.3">
      <c r="A30" s="192"/>
      <c r="B30" s="192"/>
      <c r="C30" s="205">
        <v>46042</v>
      </c>
      <c r="D30" s="201"/>
      <c r="E30" s="201"/>
      <c r="F30" s="201"/>
      <c r="G30" s="206" t="s">
        <v>725</v>
      </c>
      <c r="H30" s="201"/>
      <c r="I30" s="207" t="s">
        <v>31</v>
      </c>
      <c r="J30" s="201"/>
      <c r="K30" s="201"/>
      <c r="L30" s="208">
        <v>1114.5999999999999</v>
      </c>
      <c r="M30" s="201"/>
      <c r="N30" s="201"/>
      <c r="O30" s="201"/>
    </row>
    <row r="31" spans="1:15" ht="14.4" customHeight="1" x14ac:dyDescent="0.3">
      <c r="A31" s="192"/>
      <c r="B31" s="192"/>
      <c r="C31" s="205">
        <v>46042</v>
      </c>
      <c r="D31" s="201"/>
      <c r="E31" s="201"/>
      <c r="F31" s="201"/>
      <c r="G31" s="206" t="s">
        <v>726</v>
      </c>
      <c r="H31" s="201"/>
      <c r="I31" s="207" t="s">
        <v>23</v>
      </c>
      <c r="J31" s="201"/>
      <c r="K31" s="201"/>
      <c r="L31" s="208">
        <v>102.28</v>
      </c>
      <c r="M31" s="201"/>
      <c r="N31" s="201"/>
      <c r="O31" s="201"/>
    </row>
    <row r="32" spans="1:15" ht="14.4" customHeight="1" x14ac:dyDescent="0.3">
      <c r="A32" s="192"/>
      <c r="B32" s="192"/>
      <c r="C32" s="205">
        <v>46042</v>
      </c>
      <c r="D32" s="201"/>
      <c r="E32" s="201"/>
      <c r="F32" s="201"/>
      <c r="G32" s="206" t="s">
        <v>727</v>
      </c>
      <c r="H32" s="201"/>
      <c r="I32" s="207" t="s">
        <v>32</v>
      </c>
      <c r="J32" s="201"/>
      <c r="K32" s="201"/>
      <c r="L32" s="208">
        <v>45918.47</v>
      </c>
      <c r="M32" s="201"/>
      <c r="N32" s="201"/>
      <c r="O32" s="201"/>
    </row>
    <row r="33" spans="1:17" ht="14.4" customHeight="1" x14ac:dyDescent="0.3">
      <c r="A33" s="192"/>
      <c r="B33" s="192"/>
      <c r="C33" s="205">
        <v>46042</v>
      </c>
      <c r="D33" s="201"/>
      <c r="E33" s="201"/>
      <c r="F33" s="201"/>
      <c r="G33" s="206" t="s">
        <v>728</v>
      </c>
      <c r="H33" s="201"/>
      <c r="I33" s="207" t="s">
        <v>33</v>
      </c>
      <c r="J33" s="201"/>
      <c r="K33" s="201"/>
      <c r="L33" s="208">
        <v>7578.99</v>
      </c>
      <c r="M33" s="201"/>
      <c r="N33" s="201"/>
      <c r="O33" s="201"/>
      <c r="P33" s="199"/>
      <c r="Q33" s="199"/>
    </row>
    <row r="34" spans="1:17" ht="14.4" customHeight="1" x14ac:dyDescent="0.3">
      <c r="A34" s="192"/>
      <c r="B34" s="192"/>
      <c r="C34" s="209" t="s">
        <v>729</v>
      </c>
      <c r="D34" s="201"/>
      <c r="E34" s="201"/>
      <c r="F34" s="201"/>
      <c r="G34" s="209" t="s">
        <v>15</v>
      </c>
      <c r="H34" s="201"/>
      <c r="I34" s="201"/>
      <c r="J34" s="201"/>
      <c r="K34" s="201"/>
      <c r="L34" s="210">
        <v>75027.61</v>
      </c>
      <c r="M34" s="201"/>
      <c r="N34" s="201"/>
      <c r="O34" s="201"/>
      <c r="P34" s="199"/>
      <c r="Q34" s="199"/>
    </row>
    <row r="35" spans="1:17" ht="14.4" customHeight="1" x14ac:dyDescent="0.3">
      <c r="A35" s="192"/>
      <c r="B35" s="192"/>
      <c r="C35" s="209" t="s">
        <v>730</v>
      </c>
      <c r="D35" s="201"/>
      <c r="E35" s="201"/>
      <c r="F35" s="201"/>
      <c r="G35" s="211" t="s">
        <v>13</v>
      </c>
      <c r="H35" s="201"/>
      <c r="I35" s="201"/>
      <c r="J35" s="201"/>
      <c r="K35" s="201"/>
      <c r="L35" s="216">
        <v>1346989.04</v>
      </c>
      <c r="M35" s="213"/>
      <c r="N35" s="213"/>
      <c r="O35" s="213"/>
      <c r="P35" s="199"/>
      <c r="Q35" s="199"/>
    </row>
    <row r="36" spans="1:17" ht="14.4" customHeight="1" x14ac:dyDescent="0.3">
      <c r="A36" s="192"/>
      <c r="B36" s="192"/>
      <c r="C36" s="199"/>
      <c r="D36" s="199"/>
      <c r="E36" s="199"/>
      <c r="F36" s="199"/>
      <c r="G36" s="199"/>
      <c r="H36" s="199"/>
      <c r="I36" s="199"/>
      <c r="J36" s="199"/>
      <c r="K36" s="199"/>
      <c r="L36" s="199"/>
      <c r="M36" s="199"/>
      <c r="N36" s="199"/>
      <c r="O36" s="199"/>
      <c r="P36" s="199"/>
      <c r="Q36" s="199"/>
    </row>
    <row r="37" spans="1:17" ht="14.4" customHeight="1" x14ac:dyDescent="0.3">
      <c r="A37" s="192"/>
      <c r="B37" s="192"/>
      <c r="C37" s="209" t="s">
        <v>731</v>
      </c>
      <c r="D37" s="201"/>
      <c r="E37" s="201"/>
      <c r="F37" s="201"/>
      <c r="G37" s="201"/>
      <c r="H37" s="201"/>
      <c r="I37" s="201"/>
      <c r="J37" s="201"/>
      <c r="K37" s="201"/>
      <c r="L37" s="210">
        <v>1346989.04</v>
      </c>
      <c r="M37" s="201"/>
      <c r="N37" s="201"/>
      <c r="O37" s="201"/>
      <c r="P37" s="199"/>
      <c r="Q37" s="199"/>
    </row>
    <row r="38" spans="1:17" ht="14.4" customHeight="1" x14ac:dyDescent="0.3">
      <c r="A38" s="192"/>
      <c r="B38" s="192"/>
      <c r="C38" s="209" t="s">
        <v>730</v>
      </c>
      <c r="D38" s="201"/>
      <c r="E38" s="201"/>
      <c r="F38" s="201"/>
      <c r="G38" s="211" t="s">
        <v>732</v>
      </c>
      <c r="H38" s="201"/>
      <c r="I38" s="201"/>
      <c r="J38" s="201"/>
      <c r="K38" s="201"/>
      <c r="L38" s="216">
        <v>1346989.04</v>
      </c>
      <c r="M38" s="213"/>
      <c r="N38" s="213"/>
      <c r="O38" s="213"/>
      <c r="P38" s="199"/>
      <c r="Q38" s="199"/>
    </row>
    <row r="39" spans="1:17" ht="14.4" customHeight="1" x14ac:dyDescent="0.3">
      <c r="A39" s="192"/>
      <c r="B39" s="192"/>
      <c r="C39" s="209" t="s">
        <v>730</v>
      </c>
      <c r="D39" s="201"/>
      <c r="E39" s="201"/>
      <c r="F39" s="201"/>
      <c r="G39" s="217" t="s">
        <v>730</v>
      </c>
      <c r="H39" s="201"/>
      <c r="I39" s="217" t="s">
        <v>730</v>
      </c>
      <c r="J39" s="201"/>
      <c r="K39" s="201"/>
      <c r="L39" s="209" t="s">
        <v>730</v>
      </c>
      <c r="M39" s="201"/>
      <c r="N39" s="201"/>
      <c r="O39" s="201"/>
      <c r="P39" s="199"/>
      <c r="Q39" s="199"/>
    </row>
    <row r="40" spans="1:17" ht="14.4" customHeight="1" thickBot="1" x14ac:dyDescent="0.35">
      <c r="A40" s="192"/>
      <c r="B40" s="192"/>
      <c r="C40" s="209" t="s">
        <v>14</v>
      </c>
      <c r="D40" s="201"/>
      <c r="E40" s="201"/>
      <c r="F40" s="201"/>
      <c r="G40" s="217" t="s">
        <v>733</v>
      </c>
      <c r="H40" s="201"/>
      <c r="I40" s="201"/>
      <c r="J40" s="201"/>
      <c r="K40" s="201"/>
      <c r="L40" s="218">
        <v>0</v>
      </c>
      <c r="M40" s="219"/>
      <c r="N40" s="219"/>
      <c r="O40" s="219"/>
      <c r="P40" s="199"/>
      <c r="Q40" s="199"/>
    </row>
    <row r="41" spans="1:17" ht="14.4" customHeight="1" thickTop="1" x14ac:dyDescent="0.3">
      <c r="A41" s="192"/>
      <c r="B41" s="192"/>
      <c r="C41" s="199"/>
      <c r="D41" s="199"/>
      <c r="E41" s="199"/>
      <c r="F41" s="199"/>
      <c r="G41" s="199"/>
      <c r="H41" s="199"/>
      <c r="I41" s="199"/>
      <c r="J41" s="199"/>
      <c r="K41" s="199"/>
      <c r="L41" s="199"/>
      <c r="M41" s="199"/>
      <c r="N41" s="199"/>
      <c r="O41" s="199"/>
      <c r="P41" s="199"/>
      <c r="Q41" s="199"/>
    </row>
    <row r="42" spans="1:17" ht="14.4" customHeight="1" x14ac:dyDescent="0.3">
      <c r="A42" s="196"/>
      <c r="B42" s="196"/>
      <c r="C42" s="199"/>
      <c r="D42" s="199"/>
      <c r="E42" s="199"/>
      <c r="F42" s="199"/>
      <c r="G42" s="199"/>
      <c r="H42" s="199"/>
      <c r="I42" s="199"/>
      <c r="J42" s="199"/>
      <c r="K42" s="199"/>
      <c r="L42" s="199"/>
      <c r="M42" s="199"/>
      <c r="N42" s="199"/>
      <c r="O42" s="199"/>
      <c r="P42" s="199"/>
      <c r="Q42" s="199"/>
    </row>
    <row r="43" spans="1:17" x14ac:dyDescent="0.3">
      <c r="A43" s="193"/>
      <c r="B43" s="193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199"/>
      <c r="N43" s="199"/>
      <c r="O43" s="199"/>
      <c r="P43" s="199"/>
      <c r="Q43" s="199"/>
    </row>
    <row r="44" spans="1:17" ht="14.4" customHeight="1" x14ac:dyDescent="0.3">
      <c r="A44" s="191"/>
      <c r="B44" s="209" t="s">
        <v>734</v>
      </c>
      <c r="C44" s="201"/>
      <c r="D44" s="201"/>
      <c r="E44" s="201"/>
      <c r="F44" s="201"/>
      <c r="G44" s="201"/>
      <c r="H44" s="201"/>
      <c r="I44" s="201"/>
      <c r="J44" s="199"/>
      <c r="K44" s="199"/>
      <c r="L44" s="199"/>
      <c r="M44" s="199"/>
      <c r="N44" s="199"/>
      <c r="O44" s="199"/>
      <c r="P44" s="199"/>
      <c r="Q44" s="199"/>
    </row>
    <row r="45" spans="1:17" ht="14.4" customHeight="1" x14ac:dyDescent="0.3">
      <c r="A45" s="197"/>
      <c r="B45" s="197"/>
      <c r="C45" s="199"/>
      <c r="D45" s="199"/>
      <c r="E45" s="199"/>
      <c r="F45" s="199"/>
      <c r="G45" s="199"/>
      <c r="H45" s="199"/>
      <c r="I45" s="199"/>
      <c r="J45" s="199"/>
      <c r="K45" s="199"/>
      <c r="L45" s="199"/>
      <c r="M45" s="199"/>
      <c r="N45" s="199"/>
      <c r="O45" s="199"/>
      <c r="P45" s="199"/>
      <c r="Q45" s="199"/>
    </row>
    <row r="46" spans="1:17" ht="14.4" customHeight="1" x14ac:dyDescent="0.3">
      <c r="A46" s="198"/>
      <c r="B46" s="220" t="s">
        <v>730</v>
      </c>
      <c r="C46" s="201"/>
      <c r="D46" s="201"/>
      <c r="E46" s="201"/>
      <c r="F46" s="220" t="s">
        <v>730</v>
      </c>
      <c r="G46" s="201"/>
      <c r="H46" s="220" t="s">
        <v>730</v>
      </c>
      <c r="I46" s="201"/>
      <c r="J46" s="201"/>
      <c r="K46" s="220" t="s">
        <v>730</v>
      </c>
      <c r="L46" s="201"/>
      <c r="M46" s="220" t="s">
        <v>730</v>
      </c>
      <c r="N46" s="201"/>
      <c r="O46" s="201"/>
      <c r="P46" s="201"/>
      <c r="Q46" s="201"/>
    </row>
    <row r="47" spans="1:17" ht="14.4" customHeight="1" x14ac:dyDescent="0.3">
      <c r="A47" s="198"/>
      <c r="B47" s="209" t="s">
        <v>735</v>
      </c>
      <c r="C47" s="201"/>
      <c r="D47" s="201"/>
      <c r="E47" s="201"/>
      <c r="F47" s="201"/>
      <c r="G47" s="201"/>
      <c r="H47" s="201"/>
      <c r="I47" s="201"/>
      <c r="J47" s="201"/>
      <c r="K47" s="209" t="s">
        <v>730</v>
      </c>
      <c r="L47" s="201"/>
      <c r="M47" s="209" t="s">
        <v>730</v>
      </c>
      <c r="N47" s="201"/>
      <c r="O47" s="201"/>
      <c r="P47" s="201"/>
      <c r="Q47" s="201"/>
    </row>
    <row r="48" spans="1:17" ht="14.4" customHeight="1" x14ac:dyDescent="0.3">
      <c r="A48" s="198"/>
      <c r="B48" s="222" t="s">
        <v>730</v>
      </c>
      <c r="C48" s="201"/>
      <c r="D48" s="201"/>
      <c r="E48" s="201"/>
      <c r="F48" s="220" t="s">
        <v>730</v>
      </c>
      <c r="G48" s="201"/>
      <c r="H48" s="222" t="s">
        <v>730</v>
      </c>
      <c r="I48" s="201"/>
      <c r="J48" s="201"/>
      <c r="K48" s="222" t="s">
        <v>730</v>
      </c>
      <c r="L48" s="201"/>
      <c r="M48" s="222" t="s">
        <v>730</v>
      </c>
      <c r="N48" s="201"/>
      <c r="O48" s="201"/>
      <c r="P48" s="201"/>
      <c r="Q48" s="201"/>
    </row>
    <row r="49" spans="1:17" ht="14.4" customHeight="1" x14ac:dyDescent="0.3">
      <c r="A49" s="198"/>
      <c r="B49" s="221" t="s">
        <v>1</v>
      </c>
      <c r="C49" s="213"/>
      <c r="D49" s="213"/>
      <c r="E49" s="213"/>
      <c r="F49" s="221" t="s">
        <v>147</v>
      </c>
      <c r="G49" s="213"/>
      <c r="H49" s="221" t="s">
        <v>248</v>
      </c>
      <c r="I49" s="213"/>
      <c r="J49" s="213"/>
      <c r="K49" s="221" t="s">
        <v>17</v>
      </c>
      <c r="L49" s="213"/>
      <c r="M49" s="221" t="s">
        <v>302</v>
      </c>
      <c r="N49" s="213"/>
      <c r="O49" s="213"/>
      <c r="P49" s="213"/>
      <c r="Q49" s="213"/>
    </row>
    <row r="50" spans="1:17" ht="14.4" customHeight="1" x14ac:dyDescent="0.3">
      <c r="A50" s="198"/>
      <c r="B50" s="223">
        <v>46001</v>
      </c>
      <c r="C50" s="201"/>
      <c r="D50" s="201"/>
      <c r="E50" s="201"/>
      <c r="F50" s="224" t="s">
        <v>736</v>
      </c>
      <c r="G50" s="201"/>
      <c r="H50" s="225" t="s">
        <v>737</v>
      </c>
      <c r="I50" s="201"/>
      <c r="J50" s="201"/>
      <c r="K50" s="226">
        <v>7387.14</v>
      </c>
      <c r="L50" s="201"/>
      <c r="M50" s="227">
        <v>46047</v>
      </c>
      <c r="N50" s="201"/>
      <c r="O50" s="201"/>
      <c r="P50" s="201"/>
      <c r="Q50" s="201"/>
    </row>
    <row r="51" spans="1:17" ht="14.4" customHeight="1" x14ac:dyDescent="0.3">
      <c r="A51" s="198"/>
      <c r="B51" s="223">
        <v>46001</v>
      </c>
      <c r="C51" s="201"/>
      <c r="D51" s="201"/>
      <c r="E51" s="201"/>
      <c r="F51" s="224" t="s">
        <v>738</v>
      </c>
      <c r="G51" s="201"/>
      <c r="H51" s="225" t="s">
        <v>31</v>
      </c>
      <c r="I51" s="201"/>
      <c r="J51" s="201"/>
      <c r="K51" s="226">
        <v>1318.96</v>
      </c>
      <c r="L51" s="201"/>
      <c r="M51" s="227">
        <v>46047</v>
      </c>
      <c r="N51" s="201"/>
      <c r="O51" s="201"/>
      <c r="P51" s="201"/>
      <c r="Q51" s="201"/>
    </row>
    <row r="52" spans="1:17" ht="14.4" customHeight="1" x14ac:dyDescent="0.3">
      <c r="A52" s="198"/>
      <c r="B52" s="223">
        <v>46007</v>
      </c>
      <c r="C52" s="201"/>
      <c r="D52" s="201"/>
      <c r="E52" s="201"/>
      <c r="F52" s="224" t="s">
        <v>739</v>
      </c>
      <c r="G52" s="201"/>
      <c r="H52" s="225" t="s">
        <v>740</v>
      </c>
      <c r="I52" s="201"/>
      <c r="J52" s="201"/>
      <c r="K52" s="226">
        <v>4174.6000000000004</v>
      </c>
      <c r="L52" s="201"/>
      <c r="M52" s="227">
        <v>46047</v>
      </c>
      <c r="N52" s="201"/>
      <c r="O52" s="201"/>
      <c r="P52" s="201"/>
      <c r="Q52" s="201"/>
    </row>
    <row r="53" spans="1:17" ht="14.4" customHeight="1" x14ac:dyDescent="0.3">
      <c r="A53" s="198"/>
      <c r="B53" s="223">
        <v>46007</v>
      </c>
      <c r="C53" s="201"/>
      <c r="D53" s="201"/>
      <c r="E53" s="201"/>
      <c r="F53" s="224" t="s">
        <v>741</v>
      </c>
      <c r="G53" s="201"/>
      <c r="H53" s="225" t="s">
        <v>742</v>
      </c>
      <c r="I53" s="201"/>
      <c r="J53" s="201"/>
      <c r="K53" s="226">
        <v>1500</v>
      </c>
      <c r="L53" s="201"/>
      <c r="M53" s="227">
        <v>46047</v>
      </c>
      <c r="N53" s="201"/>
      <c r="O53" s="201"/>
      <c r="P53" s="201"/>
      <c r="Q53" s="201"/>
    </row>
    <row r="54" spans="1:17" ht="14.4" customHeight="1" x14ac:dyDescent="0.3">
      <c r="A54" s="198"/>
      <c r="B54" s="223">
        <v>46007</v>
      </c>
      <c r="C54" s="201"/>
      <c r="D54" s="201"/>
      <c r="E54" s="201"/>
      <c r="F54" s="224" t="s">
        <v>743</v>
      </c>
      <c r="G54" s="201"/>
      <c r="H54" s="225" t="s">
        <v>744</v>
      </c>
      <c r="I54" s="201"/>
      <c r="J54" s="201"/>
      <c r="K54" s="226">
        <v>77.02</v>
      </c>
      <c r="L54" s="201"/>
      <c r="M54" s="227">
        <v>46047</v>
      </c>
      <c r="N54" s="201"/>
      <c r="O54" s="201"/>
      <c r="P54" s="201"/>
      <c r="Q54" s="201"/>
    </row>
    <row r="55" spans="1:17" ht="14.4" customHeight="1" x14ac:dyDescent="0.3">
      <c r="A55" s="198"/>
      <c r="B55" s="223">
        <v>46028</v>
      </c>
      <c r="C55" s="201"/>
      <c r="D55" s="201"/>
      <c r="E55" s="201"/>
      <c r="F55" s="224" t="s">
        <v>745</v>
      </c>
      <c r="G55" s="201"/>
      <c r="H55" s="225" t="s">
        <v>20</v>
      </c>
      <c r="I55" s="201"/>
      <c r="J55" s="201"/>
      <c r="K55" s="226">
        <v>834.8</v>
      </c>
      <c r="L55" s="201"/>
      <c r="M55" s="227">
        <v>46047</v>
      </c>
      <c r="N55" s="201"/>
      <c r="O55" s="201"/>
      <c r="P55" s="201"/>
      <c r="Q55" s="201"/>
    </row>
    <row r="56" spans="1:17" ht="14.4" customHeight="1" x14ac:dyDescent="0.3">
      <c r="A56" s="198"/>
      <c r="B56" s="223">
        <v>46028</v>
      </c>
      <c r="C56" s="201"/>
      <c r="D56" s="201"/>
      <c r="E56" s="201"/>
      <c r="F56" s="224" t="s">
        <v>746</v>
      </c>
      <c r="G56" s="201"/>
      <c r="H56" s="225" t="s">
        <v>740</v>
      </c>
      <c r="I56" s="201"/>
      <c r="J56" s="201"/>
      <c r="K56" s="226">
        <v>32012.75</v>
      </c>
      <c r="L56" s="201"/>
      <c r="M56" s="227">
        <v>46047</v>
      </c>
      <c r="N56" s="201"/>
      <c r="O56" s="201"/>
      <c r="P56" s="201"/>
      <c r="Q56" s="201"/>
    </row>
    <row r="57" spans="1:17" ht="14.4" customHeight="1" x14ac:dyDescent="0.3">
      <c r="A57" s="198"/>
      <c r="B57" s="223">
        <v>46028</v>
      </c>
      <c r="C57" s="201"/>
      <c r="D57" s="201"/>
      <c r="E57" s="201"/>
      <c r="F57" s="224" t="s">
        <v>747</v>
      </c>
      <c r="G57" s="201"/>
      <c r="H57" s="225" t="s">
        <v>748</v>
      </c>
      <c r="I57" s="201"/>
      <c r="J57" s="201"/>
      <c r="K57" s="226">
        <v>1676</v>
      </c>
      <c r="L57" s="201"/>
      <c r="M57" s="227">
        <v>46047</v>
      </c>
      <c r="N57" s="201"/>
      <c r="O57" s="201"/>
      <c r="P57" s="201"/>
      <c r="Q57" s="201"/>
    </row>
    <row r="58" spans="1:17" ht="14.4" customHeight="1" x14ac:dyDescent="0.3">
      <c r="A58" s="198"/>
      <c r="B58" s="223">
        <v>46028</v>
      </c>
      <c r="C58" s="201"/>
      <c r="D58" s="201"/>
      <c r="E58" s="201"/>
      <c r="F58" s="224" t="s">
        <v>749</v>
      </c>
      <c r="G58" s="201"/>
      <c r="H58" s="225" t="s">
        <v>750</v>
      </c>
      <c r="I58" s="201"/>
      <c r="J58" s="201"/>
      <c r="K58" s="226">
        <v>39778.83</v>
      </c>
      <c r="L58" s="201"/>
      <c r="M58" s="227">
        <v>46047</v>
      </c>
      <c r="N58" s="201"/>
      <c r="O58" s="201"/>
      <c r="P58" s="201"/>
      <c r="Q58" s="201"/>
    </row>
    <row r="59" spans="1:17" ht="14.4" customHeight="1" x14ac:dyDescent="0.3">
      <c r="A59" s="198"/>
      <c r="B59" s="223">
        <v>46028</v>
      </c>
      <c r="C59" s="201"/>
      <c r="D59" s="201"/>
      <c r="E59" s="201"/>
      <c r="F59" s="224" t="s">
        <v>751</v>
      </c>
      <c r="G59" s="201"/>
      <c r="H59" s="225" t="s">
        <v>752</v>
      </c>
      <c r="I59" s="201"/>
      <c r="J59" s="201"/>
      <c r="K59" s="226">
        <v>306.41000000000003</v>
      </c>
      <c r="L59" s="201"/>
      <c r="M59" s="227">
        <v>46047</v>
      </c>
      <c r="N59" s="201"/>
      <c r="O59" s="201"/>
      <c r="P59" s="201"/>
      <c r="Q59" s="201"/>
    </row>
    <row r="60" spans="1:17" ht="14.4" customHeight="1" x14ac:dyDescent="0.3">
      <c r="A60" s="198"/>
      <c r="B60" s="223">
        <v>46028</v>
      </c>
      <c r="C60" s="201"/>
      <c r="D60" s="201"/>
      <c r="E60" s="201"/>
      <c r="F60" s="224" t="s">
        <v>753</v>
      </c>
      <c r="G60" s="201"/>
      <c r="H60" s="225" t="s">
        <v>754</v>
      </c>
      <c r="I60" s="201"/>
      <c r="J60" s="201"/>
      <c r="K60" s="226">
        <v>401.25</v>
      </c>
      <c r="L60" s="201"/>
      <c r="M60" s="227">
        <v>46047</v>
      </c>
      <c r="N60" s="201"/>
      <c r="O60" s="201"/>
      <c r="P60" s="201"/>
      <c r="Q60" s="201"/>
    </row>
    <row r="61" spans="1:17" ht="14.4" customHeight="1" x14ac:dyDescent="0.3">
      <c r="A61" s="198"/>
      <c r="B61" s="223">
        <v>46028</v>
      </c>
      <c r="C61" s="201"/>
      <c r="D61" s="201"/>
      <c r="E61" s="201"/>
      <c r="F61" s="224" t="s">
        <v>755</v>
      </c>
      <c r="G61" s="201"/>
      <c r="H61" s="225" t="s">
        <v>756</v>
      </c>
      <c r="I61" s="201"/>
      <c r="J61" s="201"/>
      <c r="K61" s="226">
        <v>300</v>
      </c>
      <c r="L61" s="201"/>
      <c r="M61" s="227">
        <v>46047</v>
      </c>
      <c r="N61" s="201"/>
      <c r="O61" s="201"/>
      <c r="P61" s="201"/>
      <c r="Q61" s="201"/>
    </row>
    <row r="62" spans="1:17" ht="14.4" customHeight="1" x14ac:dyDescent="0.3">
      <c r="A62" s="198"/>
      <c r="B62" s="223">
        <v>46028</v>
      </c>
      <c r="C62" s="201"/>
      <c r="D62" s="201"/>
      <c r="E62" s="201"/>
      <c r="F62" s="224" t="s">
        <v>757</v>
      </c>
      <c r="G62" s="201"/>
      <c r="H62" s="225" t="s">
        <v>758</v>
      </c>
      <c r="I62" s="201"/>
      <c r="J62" s="201"/>
      <c r="K62" s="226">
        <v>27631</v>
      </c>
      <c r="L62" s="201"/>
      <c r="M62" s="227">
        <v>46047</v>
      </c>
      <c r="N62" s="201"/>
      <c r="O62" s="201"/>
      <c r="P62" s="201"/>
      <c r="Q62" s="201"/>
    </row>
    <row r="63" spans="1:17" ht="14.4" customHeight="1" x14ac:dyDescent="0.3">
      <c r="A63" s="198"/>
      <c r="B63" s="223">
        <v>46028</v>
      </c>
      <c r="C63" s="201"/>
      <c r="D63" s="201"/>
      <c r="E63" s="201"/>
      <c r="F63" s="224" t="s">
        <v>759</v>
      </c>
      <c r="G63" s="201"/>
      <c r="H63" s="225" t="s">
        <v>26</v>
      </c>
      <c r="I63" s="201"/>
      <c r="J63" s="201"/>
      <c r="K63" s="226">
        <v>154.04</v>
      </c>
      <c r="L63" s="201"/>
      <c r="M63" s="227">
        <v>46047</v>
      </c>
      <c r="N63" s="201"/>
      <c r="O63" s="201"/>
      <c r="P63" s="201"/>
      <c r="Q63" s="201"/>
    </row>
    <row r="64" spans="1:17" ht="14.4" customHeight="1" x14ac:dyDescent="0.3">
      <c r="A64" s="198"/>
      <c r="B64" s="223">
        <v>46028</v>
      </c>
      <c r="C64" s="201"/>
      <c r="D64" s="201"/>
      <c r="E64" s="201"/>
      <c r="F64" s="224" t="s">
        <v>760</v>
      </c>
      <c r="G64" s="201"/>
      <c r="H64" s="225" t="s">
        <v>761</v>
      </c>
      <c r="I64" s="201"/>
      <c r="J64" s="201"/>
      <c r="K64" s="226">
        <v>360</v>
      </c>
      <c r="L64" s="201"/>
      <c r="M64" s="227">
        <v>46047</v>
      </c>
      <c r="N64" s="201"/>
      <c r="O64" s="201"/>
      <c r="P64" s="201"/>
      <c r="Q64" s="201"/>
    </row>
    <row r="65" spans="1:17" ht="14.4" customHeight="1" x14ac:dyDescent="0.3">
      <c r="A65" s="198"/>
      <c r="B65" s="223">
        <v>46028</v>
      </c>
      <c r="C65" s="201"/>
      <c r="D65" s="201"/>
      <c r="E65" s="201"/>
      <c r="F65" s="224" t="s">
        <v>762</v>
      </c>
      <c r="G65" s="201"/>
      <c r="H65" s="225" t="s">
        <v>22</v>
      </c>
      <c r="I65" s="201"/>
      <c r="J65" s="201"/>
      <c r="K65" s="226">
        <v>23311.01</v>
      </c>
      <c r="L65" s="201"/>
      <c r="M65" s="227">
        <v>46047</v>
      </c>
      <c r="N65" s="201"/>
      <c r="O65" s="201"/>
      <c r="P65" s="201"/>
      <c r="Q65" s="201"/>
    </row>
    <row r="66" spans="1:17" ht="14.4" customHeight="1" x14ac:dyDescent="0.3">
      <c r="A66" s="198"/>
      <c r="B66" s="223">
        <v>46028</v>
      </c>
      <c r="C66" s="201"/>
      <c r="D66" s="201"/>
      <c r="E66" s="201"/>
      <c r="F66" s="224" t="s">
        <v>763</v>
      </c>
      <c r="G66" s="201"/>
      <c r="H66" s="225" t="s">
        <v>764</v>
      </c>
      <c r="I66" s="201"/>
      <c r="J66" s="201"/>
      <c r="K66" s="226">
        <v>1710</v>
      </c>
      <c r="L66" s="201"/>
      <c r="M66" s="227">
        <v>46047</v>
      </c>
      <c r="N66" s="201"/>
      <c r="O66" s="201"/>
      <c r="P66" s="201"/>
      <c r="Q66" s="201"/>
    </row>
    <row r="67" spans="1:17" ht="14.4" customHeight="1" x14ac:dyDescent="0.3">
      <c r="A67" s="198"/>
      <c r="B67" s="223">
        <v>46028</v>
      </c>
      <c r="C67" s="201"/>
      <c r="D67" s="201"/>
      <c r="E67" s="201"/>
      <c r="F67" s="224" t="s">
        <v>765</v>
      </c>
      <c r="G67" s="201"/>
      <c r="H67" s="225" t="s">
        <v>766</v>
      </c>
      <c r="I67" s="201"/>
      <c r="J67" s="201"/>
      <c r="K67" s="226">
        <v>198.65</v>
      </c>
      <c r="L67" s="201"/>
      <c r="M67" s="227">
        <v>46047</v>
      </c>
      <c r="N67" s="201"/>
      <c r="O67" s="201"/>
      <c r="P67" s="201"/>
      <c r="Q67" s="201"/>
    </row>
    <row r="68" spans="1:17" ht="14.4" customHeight="1" x14ac:dyDescent="0.3">
      <c r="A68" s="198"/>
      <c r="B68" s="223">
        <v>46028</v>
      </c>
      <c r="C68" s="201"/>
      <c r="D68" s="201"/>
      <c r="E68" s="201"/>
      <c r="F68" s="224" t="s">
        <v>767</v>
      </c>
      <c r="G68" s="201"/>
      <c r="H68" s="225" t="s">
        <v>768</v>
      </c>
      <c r="I68" s="201"/>
      <c r="J68" s="201"/>
      <c r="K68" s="226">
        <v>3750</v>
      </c>
      <c r="L68" s="201"/>
      <c r="M68" s="227">
        <v>46047</v>
      </c>
      <c r="N68" s="201"/>
      <c r="O68" s="201"/>
      <c r="P68" s="201"/>
      <c r="Q68" s="201"/>
    </row>
    <row r="69" spans="1:17" ht="14.4" customHeight="1" x14ac:dyDescent="0.3">
      <c r="A69" s="198"/>
      <c r="B69" s="223">
        <v>46028</v>
      </c>
      <c r="C69" s="201"/>
      <c r="D69" s="201"/>
      <c r="E69" s="201"/>
      <c r="F69" s="224" t="s">
        <v>769</v>
      </c>
      <c r="G69" s="201"/>
      <c r="H69" s="225" t="s">
        <v>770</v>
      </c>
      <c r="I69" s="201"/>
      <c r="J69" s="201"/>
      <c r="K69" s="226">
        <v>212.28</v>
      </c>
      <c r="L69" s="201"/>
      <c r="M69" s="227">
        <v>46047</v>
      </c>
      <c r="N69" s="201"/>
      <c r="O69" s="201"/>
      <c r="P69" s="201"/>
      <c r="Q69" s="201"/>
    </row>
    <row r="70" spans="1:17" ht="14.4" customHeight="1" x14ac:dyDescent="0.3">
      <c r="A70" s="198"/>
      <c r="B70" s="223">
        <v>46028</v>
      </c>
      <c r="C70" s="201"/>
      <c r="D70" s="201"/>
      <c r="E70" s="201"/>
      <c r="F70" s="224" t="s">
        <v>771</v>
      </c>
      <c r="G70" s="201"/>
      <c r="H70" s="225" t="s">
        <v>772</v>
      </c>
      <c r="I70" s="201"/>
      <c r="J70" s="201"/>
      <c r="K70" s="226">
        <v>220.5</v>
      </c>
      <c r="L70" s="201"/>
      <c r="M70" s="227">
        <v>46047</v>
      </c>
      <c r="N70" s="201"/>
      <c r="O70" s="201"/>
      <c r="P70" s="201"/>
      <c r="Q70" s="201"/>
    </row>
    <row r="71" spans="1:17" ht="14.4" customHeight="1" x14ac:dyDescent="0.3">
      <c r="A71" s="192"/>
      <c r="B71" s="223">
        <v>46028</v>
      </c>
      <c r="C71" s="201"/>
      <c r="D71" s="201"/>
      <c r="E71" s="201"/>
      <c r="F71" s="224" t="s">
        <v>773</v>
      </c>
      <c r="G71" s="201"/>
      <c r="H71" s="225" t="s">
        <v>744</v>
      </c>
      <c r="I71" s="201"/>
      <c r="J71" s="201"/>
      <c r="K71" s="226">
        <v>372.09</v>
      </c>
      <c r="L71" s="201"/>
      <c r="M71" s="227">
        <v>46047</v>
      </c>
      <c r="N71" s="201"/>
      <c r="O71" s="201"/>
      <c r="P71" s="201"/>
      <c r="Q71" s="201"/>
    </row>
    <row r="72" spans="1:17" ht="14.4" customHeight="1" x14ac:dyDescent="0.3">
      <c r="A72" s="193"/>
      <c r="B72" s="223">
        <v>46028</v>
      </c>
      <c r="C72" s="201"/>
      <c r="D72" s="201"/>
      <c r="E72" s="201"/>
      <c r="F72" s="224" t="s">
        <v>774</v>
      </c>
      <c r="G72" s="201"/>
      <c r="H72" s="225" t="s">
        <v>29</v>
      </c>
      <c r="I72" s="201"/>
      <c r="J72" s="201"/>
      <c r="K72" s="226">
        <v>3709</v>
      </c>
      <c r="L72" s="201"/>
      <c r="M72" s="227">
        <v>46047</v>
      </c>
      <c r="N72" s="201"/>
      <c r="O72" s="201"/>
      <c r="P72" s="201"/>
      <c r="Q72" s="201"/>
    </row>
    <row r="73" spans="1:17" ht="14.4" customHeight="1" x14ac:dyDescent="0.3">
      <c r="A73" s="197"/>
      <c r="B73" s="223">
        <v>46028</v>
      </c>
      <c r="C73" s="201"/>
      <c r="D73" s="201"/>
      <c r="E73" s="201"/>
      <c r="F73" s="224" t="s">
        <v>775</v>
      </c>
      <c r="G73" s="201"/>
      <c r="H73" s="225" t="s">
        <v>776</v>
      </c>
      <c r="I73" s="201"/>
      <c r="J73" s="201"/>
      <c r="K73" s="226">
        <v>1000</v>
      </c>
      <c r="L73" s="201"/>
      <c r="M73" s="227">
        <v>46047</v>
      </c>
      <c r="N73" s="201"/>
      <c r="O73" s="201"/>
      <c r="P73" s="201"/>
      <c r="Q73" s="201"/>
    </row>
    <row r="74" spans="1:17" ht="14.4" customHeight="1" x14ac:dyDescent="0.3">
      <c r="A74" s="198"/>
      <c r="B74" s="223">
        <v>46028</v>
      </c>
      <c r="C74" s="201"/>
      <c r="D74" s="201"/>
      <c r="E74" s="201"/>
      <c r="F74" s="224" t="s">
        <v>777</v>
      </c>
      <c r="G74" s="201"/>
      <c r="H74" s="225" t="s">
        <v>778</v>
      </c>
      <c r="I74" s="201"/>
      <c r="J74" s="201"/>
      <c r="K74" s="226">
        <v>12526</v>
      </c>
      <c r="L74" s="201"/>
      <c r="M74" s="227">
        <v>46047</v>
      </c>
      <c r="N74" s="201"/>
      <c r="O74" s="201"/>
      <c r="P74" s="201"/>
      <c r="Q74" s="201"/>
    </row>
    <row r="75" spans="1:17" ht="14.4" customHeight="1" x14ac:dyDescent="0.3">
      <c r="A75" s="198"/>
      <c r="B75" s="223">
        <v>46028</v>
      </c>
      <c r="C75" s="201"/>
      <c r="D75" s="201"/>
      <c r="E75" s="201"/>
      <c r="F75" s="224" t="s">
        <v>779</v>
      </c>
      <c r="G75" s="201"/>
      <c r="H75" s="225" t="s">
        <v>31</v>
      </c>
      <c r="I75" s="201"/>
      <c r="J75" s="201"/>
      <c r="K75" s="226">
        <v>4678.28</v>
      </c>
      <c r="L75" s="201"/>
      <c r="M75" s="227">
        <v>46047</v>
      </c>
      <c r="N75" s="201"/>
      <c r="O75" s="201"/>
      <c r="P75" s="201"/>
      <c r="Q75" s="201"/>
    </row>
    <row r="76" spans="1:17" ht="14.4" customHeight="1" x14ac:dyDescent="0.3">
      <c r="A76" s="198"/>
      <c r="B76" s="223">
        <v>46028</v>
      </c>
      <c r="C76" s="201"/>
      <c r="D76" s="201"/>
      <c r="E76" s="201"/>
      <c r="F76" s="224" t="s">
        <v>780</v>
      </c>
      <c r="G76" s="201"/>
      <c r="H76" s="225" t="s">
        <v>781</v>
      </c>
      <c r="I76" s="201"/>
      <c r="J76" s="201"/>
      <c r="K76" s="226">
        <v>301.5</v>
      </c>
      <c r="L76" s="201"/>
      <c r="M76" s="227">
        <v>46047</v>
      </c>
      <c r="N76" s="201"/>
      <c r="O76" s="201"/>
      <c r="P76" s="201"/>
      <c r="Q76" s="201"/>
    </row>
    <row r="77" spans="1:17" ht="14.4" customHeight="1" x14ac:dyDescent="0.3">
      <c r="A77" s="198"/>
      <c r="B77" s="223">
        <v>46028</v>
      </c>
      <c r="C77" s="201"/>
      <c r="D77" s="201"/>
      <c r="E77" s="201"/>
      <c r="F77" s="224" t="s">
        <v>782</v>
      </c>
      <c r="G77" s="201"/>
      <c r="H77" s="225" t="s">
        <v>783</v>
      </c>
      <c r="I77" s="201"/>
      <c r="J77" s="201"/>
      <c r="K77" s="226">
        <v>18951.27</v>
      </c>
      <c r="L77" s="201"/>
      <c r="M77" s="227">
        <v>46047</v>
      </c>
      <c r="N77" s="201"/>
      <c r="O77" s="201"/>
      <c r="P77" s="201"/>
      <c r="Q77" s="201"/>
    </row>
    <row r="78" spans="1:17" ht="14.4" customHeight="1" x14ac:dyDescent="0.3">
      <c r="A78" s="192"/>
      <c r="B78" s="223">
        <v>46028</v>
      </c>
      <c r="C78" s="201"/>
      <c r="D78" s="201"/>
      <c r="E78" s="201"/>
      <c r="F78" s="224" t="s">
        <v>784</v>
      </c>
      <c r="G78" s="201"/>
      <c r="H78" s="225" t="s">
        <v>23</v>
      </c>
      <c r="I78" s="201"/>
      <c r="J78" s="201"/>
      <c r="K78" s="226">
        <v>306.83999999999997</v>
      </c>
      <c r="L78" s="201"/>
      <c r="M78" s="227">
        <v>46047</v>
      </c>
      <c r="N78" s="201"/>
      <c r="O78" s="201"/>
      <c r="P78" s="201"/>
      <c r="Q78" s="201"/>
    </row>
    <row r="79" spans="1:17" x14ac:dyDescent="0.3">
      <c r="B79" s="223">
        <v>46028</v>
      </c>
      <c r="C79" s="201"/>
      <c r="D79" s="201"/>
      <c r="E79" s="201"/>
      <c r="F79" s="224" t="s">
        <v>785</v>
      </c>
      <c r="G79" s="201"/>
      <c r="H79" s="225" t="s">
        <v>786</v>
      </c>
      <c r="I79" s="201"/>
      <c r="J79" s="201"/>
      <c r="K79" s="226">
        <v>143.19</v>
      </c>
      <c r="L79" s="201"/>
      <c r="M79" s="227">
        <v>46047</v>
      </c>
      <c r="N79" s="201"/>
      <c r="O79" s="201"/>
      <c r="P79" s="201"/>
      <c r="Q79" s="201"/>
    </row>
    <row r="80" spans="1:17" x14ac:dyDescent="0.3">
      <c r="B80" s="223">
        <v>46028</v>
      </c>
      <c r="C80" s="201"/>
      <c r="D80" s="201"/>
      <c r="E80" s="201"/>
      <c r="F80" s="224" t="s">
        <v>787</v>
      </c>
      <c r="G80" s="201"/>
      <c r="H80" s="225" t="s">
        <v>788</v>
      </c>
      <c r="I80" s="201"/>
      <c r="J80" s="201"/>
      <c r="K80" s="226">
        <v>6740</v>
      </c>
      <c r="L80" s="201"/>
      <c r="M80" s="227">
        <v>46047</v>
      </c>
      <c r="N80" s="201"/>
      <c r="O80" s="201"/>
      <c r="P80" s="201"/>
      <c r="Q80" s="201"/>
    </row>
    <row r="81" spans="2:17" x14ac:dyDescent="0.3">
      <c r="B81" s="223">
        <v>46028</v>
      </c>
      <c r="C81" s="201"/>
      <c r="D81" s="201"/>
      <c r="E81" s="201"/>
      <c r="F81" s="224" t="s">
        <v>789</v>
      </c>
      <c r="G81" s="201"/>
      <c r="H81" s="225" t="s">
        <v>32</v>
      </c>
      <c r="I81" s="201"/>
      <c r="J81" s="201"/>
      <c r="K81" s="226">
        <v>37842.58</v>
      </c>
      <c r="L81" s="201"/>
      <c r="M81" s="227">
        <v>46047</v>
      </c>
      <c r="N81" s="201"/>
      <c r="O81" s="201"/>
      <c r="P81" s="201"/>
      <c r="Q81" s="201"/>
    </row>
    <row r="82" spans="2:17" x14ac:dyDescent="0.3">
      <c r="B82" s="223">
        <v>46036</v>
      </c>
      <c r="C82" s="201"/>
      <c r="D82" s="201"/>
      <c r="E82" s="201"/>
      <c r="F82" s="224" t="s">
        <v>790</v>
      </c>
      <c r="G82" s="201"/>
      <c r="H82" s="225" t="s">
        <v>791</v>
      </c>
      <c r="I82" s="201"/>
      <c r="J82" s="201"/>
      <c r="K82" s="226">
        <v>24450.33</v>
      </c>
      <c r="L82" s="201"/>
      <c r="M82" s="227">
        <v>46047</v>
      </c>
      <c r="N82" s="201"/>
      <c r="O82" s="201"/>
      <c r="P82" s="201"/>
      <c r="Q82" s="201"/>
    </row>
    <row r="83" spans="2:17" x14ac:dyDescent="0.3">
      <c r="B83" s="223">
        <v>46036</v>
      </c>
      <c r="C83" s="201"/>
      <c r="D83" s="201"/>
      <c r="E83" s="201"/>
      <c r="F83" s="224" t="s">
        <v>792</v>
      </c>
      <c r="G83" s="201"/>
      <c r="H83" s="225" t="s">
        <v>793</v>
      </c>
      <c r="I83" s="201"/>
      <c r="J83" s="201"/>
      <c r="K83" s="226">
        <v>12159.28</v>
      </c>
      <c r="L83" s="201"/>
      <c r="M83" s="227">
        <v>46047</v>
      </c>
      <c r="N83" s="201"/>
      <c r="O83" s="201"/>
      <c r="P83" s="201"/>
      <c r="Q83" s="201"/>
    </row>
    <row r="84" spans="2:17" x14ac:dyDescent="0.3">
      <c r="B84" s="223">
        <v>46036</v>
      </c>
      <c r="C84" s="201"/>
      <c r="D84" s="201"/>
      <c r="E84" s="201"/>
      <c r="F84" s="224" t="s">
        <v>794</v>
      </c>
      <c r="G84" s="201"/>
      <c r="H84" s="225" t="s">
        <v>795</v>
      </c>
      <c r="I84" s="201"/>
      <c r="J84" s="201"/>
      <c r="K84" s="226">
        <v>3329.67</v>
      </c>
      <c r="L84" s="201"/>
      <c r="M84" s="227">
        <v>46047</v>
      </c>
      <c r="N84" s="201"/>
      <c r="O84" s="201"/>
      <c r="P84" s="201"/>
      <c r="Q84" s="201"/>
    </row>
    <row r="85" spans="2:17" x14ac:dyDescent="0.3">
      <c r="B85" s="223">
        <v>46036</v>
      </c>
      <c r="C85" s="201"/>
      <c r="D85" s="201"/>
      <c r="E85" s="201"/>
      <c r="F85" s="224" t="s">
        <v>796</v>
      </c>
      <c r="G85" s="201"/>
      <c r="H85" s="225" t="s">
        <v>26</v>
      </c>
      <c r="I85" s="201"/>
      <c r="J85" s="201"/>
      <c r="K85" s="226">
        <v>77.02</v>
      </c>
      <c r="L85" s="201"/>
      <c r="M85" s="227">
        <v>46047</v>
      </c>
      <c r="N85" s="201"/>
      <c r="O85" s="201"/>
      <c r="P85" s="201"/>
      <c r="Q85" s="201"/>
    </row>
    <row r="86" spans="2:17" x14ac:dyDescent="0.3">
      <c r="B86" s="223">
        <v>46036</v>
      </c>
      <c r="C86" s="201"/>
      <c r="D86" s="201"/>
      <c r="E86" s="201"/>
      <c r="F86" s="224" t="s">
        <v>797</v>
      </c>
      <c r="G86" s="201"/>
      <c r="H86" s="225" t="s">
        <v>778</v>
      </c>
      <c r="I86" s="201"/>
      <c r="J86" s="201"/>
      <c r="K86" s="226">
        <v>13638</v>
      </c>
      <c r="L86" s="201"/>
      <c r="M86" s="227">
        <v>46047</v>
      </c>
      <c r="N86" s="201"/>
      <c r="O86" s="201"/>
      <c r="P86" s="201"/>
      <c r="Q86" s="201"/>
    </row>
    <row r="87" spans="2:17" x14ac:dyDescent="0.3">
      <c r="B87" s="223">
        <v>46042</v>
      </c>
      <c r="C87" s="201"/>
      <c r="D87" s="201"/>
      <c r="E87" s="201"/>
      <c r="F87" s="224" t="s">
        <v>798</v>
      </c>
      <c r="G87" s="201"/>
      <c r="H87" s="225" t="s">
        <v>781</v>
      </c>
      <c r="I87" s="201"/>
      <c r="J87" s="201"/>
      <c r="K87" s="226">
        <v>350.54</v>
      </c>
      <c r="L87" s="201"/>
      <c r="M87" s="227">
        <v>46047</v>
      </c>
      <c r="N87" s="201"/>
      <c r="O87" s="201"/>
      <c r="P87" s="201"/>
      <c r="Q87" s="201"/>
    </row>
    <row r="88" spans="2:17" x14ac:dyDescent="0.3">
      <c r="B88" s="209" t="s">
        <v>304</v>
      </c>
      <c r="C88" s="201"/>
      <c r="D88" s="201"/>
      <c r="E88" s="201"/>
      <c r="F88" s="201"/>
      <c r="G88" s="201"/>
      <c r="H88" s="201"/>
      <c r="I88" s="201"/>
      <c r="J88" s="201"/>
      <c r="K88" s="228">
        <v>287890.83</v>
      </c>
      <c r="L88" s="229"/>
      <c r="M88" s="209" t="s">
        <v>730</v>
      </c>
      <c r="N88" s="201"/>
      <c r="O88" s="201"/>
      <c r="P88" s="201"/>
      <c r="Q88" s="201"/>
    </row>
    <row r="89" spans="2:17" x14ac:dyDescent="0.3">
      <c r="B89" s="209" t="s">
        <v>799</v>
      </c>
      <c r="C89" s="201"/>
      <c r="D89" s="201"/>
      <c r="E89" s="201"/>
      <c r="F89" s="201"/>
      <c r="G89" s="201"/>
      <c r="H89" s="201"/>
      <c r="I89" s="201"/>
      <c r="J89" s="201"/>
      <c r="K89" s="209" t="s">
        <v>730</v>
      </c>
      <c r="L89" s="201"/>
      <c r="M89" s="209" t="s">
        <v>730</v>
      </c>
      <c r="N89" s="201"/>
      <c r="O89" s="201"/>
      <c r="P89" s="201"/>
      <c r="Q89" s="201"/>
    </row>
    <row r="90" spans="2:17" x14ac:dyDescent="0.3">
      <c r="B90" s="222" t="s">
        <v>730</v>
      </c>
      <c r="C90" s="201"/>
      <c r="D90" s="201"/>
      <c r="E90" s="201"/>
      <c r="F90" s="220" t="s">
        <v>730</v>
      </c>
      <c r="G90" s="201"/>
      <c r="H90" s="222" t="s">
        <v>730</v>
      </c>
      <c r="I90" s="201"/>
      <c r="J90" s="201"/>
      <c r="K90" s="222" t="s">
        <v>730</v>
      </c>
      <c r="L90" s="201"/>
      <c r="M90" s="222" t="s">
        <v>730</v>
      </c>
      <c r="N90" s="201"/>
      <c r="O90" s="201"/>
      <c r="P90" s="201"/>
      <c r="Q90" s="201"/>
    </row>
    <row r="91" spans="2:17" x14ac:dyDescent="0.3">
      <c r="B91" s="221" t="s">
        <v>1</v>
      </c>
      <c r="C91" s="213"/>
      <c r="D91" s="213"/>
      <c r="E91" s="213"/>
      <c r="F91" s="221" t="s">
        <v>147</v>
      </c>
      <c r="G91" s="213"/>
      <c r="H91" s="221" t="s">
        <v>248</v>
      </c>
      <c r="I91" s="213"/>
      <c r="J91" s="213"/>
      <c r="K91" s="221" t="s">
        <v>17</v>
      </c>
      <c r="L91" s="213"/>
      <c r="M91" s="221" t="s">
        <v>302</v>
      </c>
      <c r="N91" s="213"/>
      <c r="O91" s="213"/>
      <c r="P91" s="213"/>
      <c r="Q91" s="213"/>
    </row>
    <row r="92" spans="2:17" x14ac:dyDescent="0.3">
      <c r="B92" s="223">
        <v>46024</v>
      </c>
      <c r="C92" s="201"/>
      <c r="D92" s="201"/>
      <c r="E92" s="201"/>
      <c r="F92" s="224" t="s">
        <v>800</v>
      </c>
      <c r="G92" s="201"/>
      <c r="H92" s="225" t="s">
        <v>4</v>
      </c>
      <c r="I92" s="201"/>
      <c r="J92" s="201"/>
      <c r="K92" s="226">
        <v>217871.54</v>
      </c>
      <c r="L92" s="201"/>
      <c r="M92" s="227">
        <v>46047</v>
      </c>
      <c r="N92" s="201"/>
      <c r="O92" s="201"/>
      <c r="P92" s="201"/>
      <c r="Q92" s="201"/>
    </row>
    <row r="93" spans="2:17" x14ac:dyDescent="0.3">
      <c r="B93" s="223">
        <v>46027</v>
      </c>
      <c r="C93" s="201"/>
      <c r="D93" s="201"/>
      <c r="E93" s="201"/>
      <c r="F93" s="224" t="s">
        <v>801</v>
      </c>
      <c r="G93" s="201"/>
      <c r="H93" s="225" t="s">
        <v>5</v>
      </c>
      <c r="I93" s="201"/>
      <c r="J93" s="201"/>
      <c r="K93" s="226">
        <v>960640.12</v>
      </c>
      <c r="L93" s="201"/>
      <c r="M93" s="227">
        <v>46047</v>
      </c>
      <c r="N93" s="201"/>
      <c r="O93" s="201"/>
      <c r="P93" s="201"/>
      <c r="Q93" s="201"/>
    </row>
    <row r="94" spans="2:17" x14ac:dyDescent="0.3">
      <c r="B94" s="223">
        <v>46029</v>
      </c>
      <c r="C94" s="201"/>
      <c r="D94" s="201"/>
      <c r="E94" s="201"/>
      <c r="F94" s="224" t="s">
        <v>802</v>
      </c>
      <c r="G94" s="201"/>
      <c r="H94" s="225" t="s">
        <v>11</v>
      </c>
      <c r="I94" s="201"/>
      <c r="J94" s="201"/>
      <c r="K94" s="226">
        <v>-848694.56</v>
      </c>
      <c r="L94" s="201"/>
      <c r="M94" s="227">
        <v>46047</v>
      </c>
      <c r="N94" s="201"/>
      <c r="O94" s="201"/>
      <c r="P94" s="201"/>
      <c r="Q94" s="201"/>
    </row>
    <row r="95" spans="2:17" x14ac:dyDescent="0.3">
      <c r="B95" s="223">
        <v>46029</v>
      </c>
      <c r="C95" s="201"/>
      <c r="D95" s="201"/>
      <c r="E95" s="201"/>
      <c r="F95" s="224" t="s">
        <v>803</v>
      </c>
      <c r="G95" s="201"/>
      <c r="H95" s="225" t="s">
        <v>10</v>
      </c>
      <c r="I95" s="201"/>
      <c r="J95" s="201"/>
      <c r="K95" s="226">
        <v>588325.42000000004</v>
      </c>
      <c r="L95" s="201"/>
      <c r="M95" s="227">
        <v>46047</v>
      </c>
      <c r="N95" s="201"/>
      <c r="O95" s="201"/>
      <c r="P95" s="201"/>
      <c r="Q95" s="201"/>
    </row>
    <row r="96" spans="2:17" x14ac:dyDescent="0.3">
      <c r="B96" s="209" t="s">
        <v>804</v>
      </c>
      <c r="C96" s="201"/>
      <c r="D96" s="201"/>
      <c r="E96" s="201"/>
      <c r="F96" s="201"/>
      <c r="G96" s="201"/>
      <c r="H96" s="201"/>
      <c r="I96" s="201"/>
      <c r="J96" s="201"/>
      <c r="K96" s="228">
        <v>918142.52</v>
      </c>
      <c r="L96" s="229"/>
      <c r="M96" s="209" t="s">
        <v>730</v>
      </c>
      <c r="N96" s="201"/>
      <c r="O96" s="201"/>
      <c r="P96" s="201"/>
      <c r="Q96" s="201"/>
    </row>
    <row r="97" spans="2:17" x14ac:dyDescent="0.3">
      <c r="B97" s="220" t="s">
        <v>730</v>
      </c>
      <c r="C97" s="201"/>
      <c r="D97" s="201"/>
      <c r="E97" s="201"/>
      <c r="F97" s="220" t="s">
        <v>730</v>
      </c>
      <c r="G97" s="201"/>
      <c r="H97" s="220" t="s">
        <v>730</v>
      </c>
      <c r="I97" s="201"/>
      <c r="J97" s="201"/>
      <c r="K97" s="230" t="s">
        <v>730</v>
      </c>
      <c r="L97" s="231"/>
      <c r="M97" s="220" t="s">
        <v>730</v>
      </c>
      <c r="N97" s="201"/>
      <c r="O97" s="201"/>
      <c r="P97" s="201"/>
      <c r="Q97" s="201"/>
    </row>
  </sheetData>
  <mergeCells count="352">
    <mergeCell ref="E2:M3"/>
    <mergeCell ref="Q2:S2"/>
    <mergeCell ref="D5:M5"/>
    <mergeCell ref="E7:M7"/>
    <mergeCell ref="E9:M9"/>
    <mergeCell ref="C17:F17"/>
    <mergeCell ref="G17:H17"/>
    <mergeCell ref="I17:K17"/>
    <mergeCell ref="L17:O17"/>
    <mergeCell ref="C18:F18"/>
    <mergeCell ref="G18:H18"/>
    <mergeCell ref="I18:K18"/>
    <mergeCell ref="L18:O18"/>
    <mergeCell ref="E11:M11"/>
    <mergeCell ref="C14:K14"/>
    <mergeCell ref="L14:O14"/>
    <mergeCell ref="C15:O15"/>
    <mergeCell ref="C16:F16"/>
    <mergeCell ref="G16:H16"/>
    <mergeCell ref="I16:K16"/>
    <mergeCell ref="L16:O16"/>
    <mergeCell ref="C21:F21"/>
    <mergeCell ref="G21:H21"/>
    <mergeCell ref="I21:K21"/>
    <mergeCell ref="L21:O21"/>
    <mergeCell ref="C22:F22"/>
    <mergeCell ref="G22:H22"/>
    <mergeCell ref="I22:K22"/>
    <mergeCell ref="L22:O22"/>
    <mergeCell ref="C19:F19"/>
    <mergeCell ref="G19:H19"/>
    <mergeCell ref="I19:K19"/>
    <mergeCell ref="L19:O19"/>
    <mergeCell ref="C20:F20"/>
    <mergeCell ref="G20:H20"/>
    <mergeCell ref="I20:K20"/>
    <mergeCell ref="L20:O20"/>
    <mergeCell ref="C25:F25"/>
    <mergeCell ref="G25:H25"/>
    <mergeCell ref="I25:K25"/>
    <mergeCell ref="L25:O25"/>
    <mergeCell ref="C26:F26"/>
    <mergeCell ref="G26:H26"/>
    <mergeCell ref="I26:K26"/>
    <mergeCell ref="L26:O26"/>
    <mergeCell ref="C23:F23"/>
    <mergeCell ref="G23:H23"/>
    <mergeCell ref="I23:K23"/>
    <mergeCell ref="L23:O23"/>
    <mergeCell ref="C24:F24"/>
    <mergeCell ref="G24:H24"/>
    <mergeCell ref="I24:K24"/>
    <mergeCell ref="L24:O24"/>
    <mergeCell ref="C29:F29"/>
    <mergeCell ref="G29:H29"/>
    <mergeCell ref="I29:K29"/>
    <mergeCell ref="L29:O29"/>
    <mergeCell ref="C30:F30"/>
    <mergeCell ref="G30:H30"/>
    <mergeCell ref="I30:K30"/>
    <mergeCell ref="L30:O30"/>
    <mergeCell ref="C27:F27"/>
    <mergeCell ref="G27:H27"/>
    <mergeCell ref="I27:K27"/>
    <mergeCell ref="L27:O27"/>
    <mergeCell ref="C28:F28"/>
    <mergeCell ref="G28:H28"/>
    <mergeCell ref="I28:K28"/>
    <mergeCell ref="L28:O28"/>
    <mergeCell ref="C33:F33"/>
    <mergeCell ref="G33:H33"/>
    <mergeCell ref="I33:K33"/>
    <mergeCell ref="L33:O33"/>
    <mergeCell ref="C34:F34"/>
    <mergeCell ref="G34:K34"/>
    <mergeCell ref="L34:O34"/>
    <mergeCell ref="C31:F31"/>
    <mergeCell ref="G31:H31"/>
    <mergeCell ref="I31:K31"/>
    <mergeCell ref="L31:O31"/>
    <mergeCell ref="C32:F32"/>
    <mergeCell ref="G32:H32"/>
    <mergeCell ref="I32:K32"/>
    <mergeCell ref="L32:O32"/>
    <mergeCell ref="C38:F38"/>
    <mergeCell ref="G38:K38"/>
    <mergeCell ref="L38:O38"/>
    <mergeCell ref="C39:F39"/>
    <mergeCell ref="G39:H39"/>
    <mergeCell ref="I39:K39"/>
    <mergeCell ref="L39:O39"/>
    <mergeCell ref="C35:F35"/>
    <mergeCell ref="G35:K35"/>
    <mergeCell ref="L35:O35"/>
    <mergeCell ref="C37:K37"/>
    <mergeCell ref="L37:O37"/>
    <mergeCell ref="C40:F40"/>
    <mergeCell ref="G40:K40"/>
    <mergeCell ref="L40:O40"/>
    <mergeCell ref="B44:I44"/>
    <mergeCell ref="B46:E46"/>
    <mergeCell ref="F46:G46"/>
    <mergeCell ref="H46:J46"/>
    <mergeCell ref="K46:L46"/>
    <mergeCell ref="M46:Q46"/>
    <mergeCell ref="B49:E49"/>
    <mergeCell ref="F49:G49"/>
    <mergeCell ref="H49:J49"/>
    <mergeCell ref="K49:L49"/>
    <mergeCell ref="M49:Q49"/>
    <mergeCell ref="B47:J47"/>
    <mergeCell ref="K47:L47"/>
    <mergeCell ref="M47:Q47"/>
    <mergeCell ref="B48:E48"/>
    <mergeCell ref="F48:G48"/>
    <mergeCell ref="H48:J48"/>
    <mergeCell ref="K48:L48"/>
    <mergeCell ref="M48:Q48"/>
    <mergeCell ref="B51:E51"/>
    <mergeCell ref="F51:G51"/>
    <mergeCell ref="H51:J51"/>
    <mergeCell ref="K51:L51"/>
    <mergeCell ref="M51:Q51"/>
    <mergeCell ref="B50:E50"/>
    <mergeCell ref="F50:G50"/>
    <mergeCell ref="H50:J50"/>
    <mergeCell ref="K50:L50"/>
    <mergeCell ref="M50:Q50"/>
    <mergeCell ref="B53:E53"/>
    <mergeCell ref="F53:G53"/>
    <mergeCell ref="H53:J53"/>
    <mergeCell ref="K53:L53"/>
    <mergeCell ref="M53:Q53"/>
    <mergeCell ref="B52:E52"/>
    <mergeCell ref="F52:G52"/>
    <mergeCell ref="H52:J52"/>
    <mergeCell ref="K52:L52"/>
    <mergeCell ref="M52:Q52"/>
    <mergeCell ref="B55:E55"/>
    <mergeCell ref="F55:G55"/>
    <mergeCell ref="H55:J55"/>
    <mergeCell ref="K55:L55"/>
    <mergeCell ref="M55:Q55"/>
    <mergeCell ref="B54:E54"/>
    <mergeCell ref="F54:G54"/>
    <mergeCell ref="H54:J54"/>
    <mergeCell ref="K54:L54"/>
    <mergeCell ref="M54:Q54"/>
    <mergeCell ref="B57:E57"/>
    <mergeCell ref="F57:G57"/>
    <mergeCell ref="H57:J57"/>
    <mergeCell ref="K57:L57"/>
    <mergeCell ref="M57:Q57"/>
    <mergeCell ref="B56:E56"/>
    <mergeCell ref="F56:G56"/>
    <mergeCell ref="H56:J56"/>
    <mergeCell ref="K56:L56"/>
    <mergeCell ref="M56:Q56"/>
    <mergeCell ref="B59:E59"/>
    <mergeCell ref="F59:G59"/>
    <mergeCell ref="H59:J59"/>
    <mergeCell ref="K59:L59"/>
    <mergeCell ref="M59:Q59"/>
    <mergeCell ref="B58:E58"/>
    <mergeCell ref="F58:G58"/>
    <mergeCell ref="H58:J58"/>
    <mergeCell ref="K58:L58"/>
    <mergeCell ref="M58:Q58"/>
    <mergeCell ref="B61:E61"/>
    <mergeCell ref="F61:G61"/>
    <mergeCell ref="H61:J61"/>
    <mergeCell ref="K61:L61"/>
    <mergeCell ref="M61:Q61"/>
    <mergeCell ref="B60:E60"/>
    <mergeCell ref="F60:G60"/>
    <mergeCell ref="H60:J60"/>
    <mergeCell ref="K60:L60"/>
    <mergeCell ref="M60:Q60"/>
    <mergeCell ref="B63:E63"/>
    <mergeCell ref="F63:G63"/>
    <mergeCell ref="H63:J63"/>
    <mergeCell ref="K63:L63"/>
    <mergeCell ref="M63:Q63"/>
    <mergeCell ref="B62:E62"/>
    <mergeCell ref="F62:G62"/>
    <mergeCell ref="H62:J62"/>
    <mergeCell ref="K62:L62"/>
    <mergeCell ref="M62:Q62"/>
    <mergeCell ref="B65:E65"/>
    <mergeCell ref="F65:G65"/>
    <mergeCell ref="H65:J65"/>
    <mergeCell ref="K65:L65"/>
    <mergeCell ref="M65:Q65"/>
    <mergeCell ref="B64:E64"/>
    <mergeCell ref="F64:G64"/>
    <mergeCell ref="H64:J64"/>
    <mergeCell ref="K64:L64"/>
    <mergeCell ref="M64:Q64"/>
    <mergeCell ref="B67:E67"/>
    <mergeCell ref="F67:G67"/>
    <mergeCell ref="H67:J67"/>
    <mergeCell ref="K67:L67"/>
    <mergeCell ref="M67:Q67"/>
    <mergeCell ref="B66:E66"/>
    <mergeCell ref="F66:G66"/>
    <mergeCell ref="H66:J66"/>
    <mergeCell ref="K66:L66"/>
    <mergeCell ref="M66:Q66"/>
    <mergeCell ref="B69:E69"/>
    <mergeCell ref="F69:G69"/>
    <mergeCell ref="H69:J69"/>
    <mergeCell ref="K69:L69"/>
    <mergeCell ref="M69:Q69"/>
    <mergeCell ref="B68:E68"/>
    <mergeCell ref="F68:G68"/>
    <mergeCell ref="H68:J68"/>
    <mergeCell ref="K68:L68"/>
    <mergeCell ref="M68:Q68"/>
    <mergeCell ref="B71:E71"/>
    <mergeCell ref="F71:G71"/>
    <mergeCell ref="H71:J71"/>
    <mergeCell ref="K71:L71"/>
    <mergeCell ref="M71:Q71"/>
    <mergeCell ref="B70:E70"/>
    <mergeCell ref="F70:G70"/>
    <mergeCell ref="H70:J70"/>
    <mergeCell ref="K70:L70"/>
    <mergeCell ref="M70:Q70"/>
    <mergeCell ref="B73:E73"/>
    <mergeCell ref="F73:G73"/>
    <mergeCell ref="H73:J73"/>
    <mergeCell ref="K73:L73"/>
    <mergeCell ref="M73:Q73"/>
    <mergeCell ref="B72:E72"/>
    <mergeCell ref="F72:G72"/>
    <mergeCell ref="H72:J72"/>
    <mergeCell ref="K72:L72"/>
    <mergeCell ref="M72:Q72"/>
    <mergeCell ref="B75:E75"/>
    <mergeCell ref="F75:G75"/>
    <mergeCell ref="H75:J75"/>
    <mergeCell ref="K75:L75"/>
    <mergeCell ref="M75:Q75"/>
    <mergeCell ref="B74:E74"/>
    <mergeCell ref="F74:G74"/>
    <mergeCell ref="H74:J74"/>
    <mergeCell ref="K74:L74"/>
    <mergeCell ref="M74:Q74"/>
    <mergeCell ref="B77:E77"/>
    <mergeCell ref="F77:G77"/>
    <mergeCell ref="H77:J77"/>
    <mergeCell ref="K77:L77"/>
    <mergeCell ref="M77:Q77"/>
    <mergeCell ref="B76:E76"/>
    <mergeCell ref="F76:G76"/>
    <mergeCell ref="H76:J76"/>
    <mergeCell ref="K76:L76"/>
    <mergeCell ref="M76:Q76"/>
    <mergeCell ref="B79:E79"/>
    <mergeCell ref="F79:G79"/>
    <mergeCell ref="H79:J79"/>
    <mergeCell ref="K79:L79"/>
    <mergeCell ref="M79:Q79"/>
    <mergeCell ref="B78:E78"/>
    <mergeCell ref="F78:G78"/>
    <mergeCell ref="H78:J78"/>
    <mergeCell ref="K78:L78"/>
    <mergeCell ref="M78:Q78"/>
    <mergeCell ref="B81:E81"/>
    <mergeCell ref="F81:G81"/>
    <mergeCell ref="H81:J81"/>
    <mergeCell ref="K81:L81"/>
    <mergeCell ref="M81:Q81"/>
    <mergeCell ref="B80:E80"/>
    <mergeCell ref="F80:G80"/>
    <mergeCell ref="H80:J80"/>
    <mergeCell ref="K80:L80"/>
    <mergeCell ref="M80:Q80"/>
    <mergeCell ref="B83:E83"/>
    <mergeCell ref="F83:G83"/>
    <mergeCell ref="H83:J83"/>
    <mergeCell ref="K83:L83"/>
    <mergeCell ref="M83:Q83"/>
    <mergeCell ref="B82:E82"/>
    <mergeCell ref="F82:G82"/>
    <mergeCell ref="H82:J82"/>
    <mergeCell ref="K82:L82"/>
    <mergeCell ref="M82:Q82"/>
    <mergeCell ref="B85:E85"/>
    <mergeCell ref="F85:G85"/>
    <mergeCell ref="H85:J85"/>
    <mergeCell ref="K85:L85"/>
    <mergeCell ref="M85:Q85"/>
    <mergeCell ref="B84:E84"/>
    <mergeCell ref="F84:G84"/>
    <mergeCell ref="H84:J84"/>
    <mergeCell ref="K84:L84"/>
    <mergeCell ref="M84:Q84"/>
    <mergeCell ref="B87:E87"/>
    <mergeCell ref="F87:G87"/>
    <mergeCell ref="H87:J87"/>
    <mergeCell ref="K87:L87"/>
    <mergeCell ref="M87:Q87"/>
    <mergeCell ref="B86:E86"/>
    <mergeCell ref="F86:G86"/>
    <mergeCell ref="H86:J86"/>
    <mergeCell ref="K86:L86"/>
    <mergeCell ref="M86:Q86"/>
    <mergeCell ref="B90:E90"/>
    <mergeCell ref="F90:G90"/>
    <mergeCell ref="H90:J90"/>
    <mergeCell ref="K90:L90"/>
    <mergeCell ref="M90:Q90"/>
    <mergeCell ref="B88:J88"/>
    <mergeCell ref="K88:L88"/>
    <mergeCell ref="M88:Q88"/>
    <mergeCell ref="B89:J89"/>
    <mergeCell ref="K89:L89"/>
    <mergeCell ref="M89:Q89"/>
    <mergeCell ref="B92:E92"/>
    <mergeCell ref="F92:G92"/>
    <mergeCell ref="H92:J92"/>
    <mergeCell ref="K92:L92"/>
    <mergeCell ref="M92:Q92"/>
    <mergeCell ref="B91:E91"/>
    <mergeCell ref="F91:G91"/>
    <mergeCell ref="H91:J91"/>
    <mergeCell ref="K91:L91"/>
    <mergeCell ref="M91:Q91"/>
    <mergeCell ref="B94:E94"/>
    <mergeCell ref="F94:G94"/>
    <mergeCell ref="H94:J94"/>
    <mergeCell ref="K94:L94"/>
    <mergeCell ref="M94:Q94"/>
    <mergeCell ref="B93:E93"/>
    <mergeCell ref="F93:G93"/>
    <mergeCell ref="H93:J93"/>
    <mergeCell ref="K93:L93"/>
    <mergeCell ref="M93:Q93"/>
    <mergeCell ref="B96:J96"/>
    <mergeCell ref="K96:L96"/>
    <mergeCell ref="M96:Q96"/>
    <mergeCell ref="B95:E95"/>
    <mergeCell ref="F95:G95"/>
    <mergeCell ref="H95:J95"/>
    <mergeCell ref="K95:L95"/>
    <mergeCell ref="M95:Q95"/>
    <mergeCell ref="B97:E97"/>
    <mergeCell ref="F97:G97"/>
    <mergeCell ref="H97:J97"/>
    <mergeCell ref="K97:L97"/>
    <mergeCell ref="M97:Q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L20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" customWidth="1"/>
  </cols>
  <sheetData>
    <row r="1" spans="1:12" x14ac:dyDescent="0.3">
      <c r="A1" s="154"/>
      <c r="B1" s="154"/>
      <c r="C1" s="232"/>
      <c r="D1" s="232"/>
      <c r="E1" s="232"/>
      <c r="F1" s="232"/>
      <c r="G1" s="232"/>
      <c r="H1" s="232"/>
      <c r="I1" s="232"/>
      <c r="J1" s="232"/>
      <c r="K1" s="232"/>
      <c r="L1" s="232"/>
    </row>
    <row r="2" spans="1:12" x14ac:dyDescent="0.3">
      <c r="A2" s="154"/>
      <c r="B2" s="154"/>
      <c r="C2" s="232"/>
      <c r="D2" s="200" t="s">
        <v>805</v>
      </c>
      <c r="E2" s="201"/>
      <c r="F2" s="201"/>
      <c r="G2" s="201"/>
      <c r="H2" s="201"/>
      <c r="I2" s="232"/>
      <c r="J2" s="232"/>
      <c r="K2" s="232"/>
      <c r="L2" s="233">
        <v>46155.4172410069</v>
      </c>
    </row>
    <row r="3" spans="1:12" x14ac:dyDescent="0.3">
      <c r="A3" s="154"/>
      <c r="B3" s="154"/>
      <c r="C3" s="232"/>
      <c r="D3" s="201"/>
      <c r="E3" s="201"/>
      <c r="F3" s="201"/>
      <c r="G3" s="201"/>
      <c r="H3" s="201"/>
      <c r="I3" s="232"/>
      <c r="J3" s="232"/>
      <c r="K3" s="232"/>
      <c r="L3" s="232"/>
    </row>
    <row r="4" spans="1:12" x14ac:dyDescent="0.3">
      <c r="A4" s="154"/>
      <c r="B4" s="154"/>
      <c r="C4" s="232"/>
      <c r="D4" s="232"/>
      <c r="E4" s="232"/>
      <c r="F4" s="232"/>
      <c r="G4" s="232"/>
      <c r="H4" s="232"/>
      <c r="I4" s="232"/>
      <c r="J4" s="232"/>
      <c r="K4" s="232"/>
      <c r="L4" s="232"/>
    </row>
    <row r="5" spans="1:12" ht="22.05" customHeight="1" x14ac:dyDescent="0.3">
      <c r="A5" s="154"/>
      <c r="B5" s="154"/>
      <c r="C5" s="200" t="s">
        <v>708</v>
      </c>
      <c r="D5" s="201"/>
      <c r="E5" s="201"/>
      <c r="F5" s="201"/>
      <c r="G5" s="201"/>
      <c r="H5" s="201"/>
      <c r="I5" s="232"/>
      <c r="J5" s="232"/>
      <c r="K5" s="232"/>
      <c r="L5" s="232"/>
    </row>
    <row r="6" spans="1:12" x14ac:dyDescent="0.3">
      <c r="A6" s="154"/>
      <c r="B6" s="154"/>
      <c r="C6" s="232"/>
      <c r="D6" s="232"/>
      <c r="E6" s="232"/>
      <c r="F6" s="232"/>
      <c r="G6" s="232"/>
      <c r="H6" s="232"/>
      <c r="I6" s="232"/>
      <c r="J6" s="232"/>
      <c r="K6" s="232"/>
      <c r="L6" s="232"/>
    </row>
    <row r="7" spans="1:12" x14ac:dyDescent="0.3">
      <c r="A7" s="154"/>
      <c r="B7" s="154"/>
      <c r="C7" s="232"/>
      <c r="D7" s="203">
        <v>46047</v>
      </c>
      <c r="E7" s="201"/>
      <c r="F7" s="201"/>
      <c r="G7" s="201"/>
      <c r="H7" s="201"/>
      <c r="I7" s="232"/>
      <c r="J7" s="232"/>
      <c r="K7" s="232"/>
      <c r="L7" s="232"/>
    </row>
    <row r="8" spans="1:12" x14ac:dyDescent="0.3">
      <c r="A8" s="154"/>
      <c r="B8" s="154"/>
      <c r="C8" s="232"/>
      <c r="D8" s="232"/>
      <c r="E8" s="232"/>
      <c r="F8" s="232"/>
      <c r="G8" s="232"/>
      <c r="H8" s="232"/>
      <c r="I8" s="232"/>
      <c r="J8" s="232"/>
      <c r="K8" s="232"/>
      <c r="L8" s="232"/>
    </row>
    <row r="9" spans="1:12" x14ac:dyDescent="0.3">
      <c r="A9" s="154"/>
      <c r="B9" s="154"/>
      <c r="C9" s="232"/>
      <c r="D9" s="204" t="s">
        <v>806</v>
      </c>
      <c r="E9" s="201"/>
      <c r="F9" s="201"/>
      <c r="G9" s="201"/>
      <c r="H9" s="201"/>
      <c r="I9" s="232"/>
      <c r="J9" s="232"/>
      <c r="K9" s="232"/>
      <c r="L9" s="232"/>
    </row>
    <row r="10" spans="1:12" x14ac:dyDescent="0.3">
      <c r="A10" s="154"/>
      <c r="B10" s="154"/>
      <c r="C10" s="232"/>
      <c r="D10" s="232"/>
      <c r="E10" s="232"/>
      <c r="F10" s="232"/>
      <c r="G10" s="232"/>
      <c r="H10" s="232"/>
      <c r="I10" s="232"/>
      <c r="J10" s="232"/>
      <c r="K10" s="232"/>
      <c r="L10" s="232"/>
    </row>
    <row r="11" spans="1:12" x14ac:dyDescent="0.3">
      <c r="A11" s="154"/>
      <c r="B11" s="154"/>
      <c r="C11" s="232"/>
      <c r="D11" s="204" t="s">
        <v>807</v>
      </c>
      <c r="E11" s="201"/>
      <c r="F11" s="201"/>
      <c r="G11" s="201"/>
      <c r="H11" s="201"/>
      <c r="I11" s="232"/>
      <c r="J11" s="232"/>
      <c r="K11" s="232"/>
      <c r="L11" s="232"/>
    </row>
    <row r="12" spans="1:12" x14ac:dyDescent="0.3">
      <c r="A12" s="154"/>
      <c r="B12" s="154"/>
      <c r="C12" s="232"/>
      <c r="D12" s="232"/>
      <c r="E12" s="232"/>
      <c r="F12" s="232"/>
      <c r="G12" s="232"/>
      <c r="H12" s="232"/>
      <c r="I12" s="232"/>
      <c r="J12" s="232"/>
      <c r="K12" s="232"/>
      <c r="L12" s="232"/>
    </row>
    <row r="13" spans="1:12" x14ac:dyDescent="0.3">
      <c r="A13" s="154"/>
      <c r="B13" s="154"/>
      <c r="C13" s="232"/>
      <c r="D13" s="232"/>
      <c r="E13" s="232"/>
      <c r="F13" s="232"/>
      <c r="G13" s="232"/>
      <c r="H13" s="232"/>
      <c r="I13" s="232"/>
      <c r="J13" s="232"/>
      <c r="K13" s="232"/>
      <c r="L13" s="232"/>
    </row>
    <row r="14" spans="1:12" x14ac:dyDescent="0.3">
      <c r="A14" s="154"/>
      <c r="B14" s="209" t="s">
        <v>12</v>
      </c>
      <c r="C14" s="201"/>
      <c r="D14" s="201"/>
      <c r="E14" s="201"/>
      <c r="F14" s="201"/>
      <c r="G14" s="201"/>
      <c r="H14" s="210">
        <v>153410.1</v>
      </c>
      <c r="I14" s="201"/>
      <c r="J14" s="201"/>
      <c r="K14" s="232"/>
      <c r="L14" s="232"/>
    </row>
    <row r="15" spans="1:12" x14ac:dyDescent="0.3">
      <c r="A15" s="154"/>
      <c r="B15" s="209" t="s">
        <v>730</v>
      </c>
      <c r="C15" s="201"/>
      <c r="D15" s="201"/>
      <c r="E15" s="211" t="s">
        <v>13</v>
      </c>
      <c r="F15" s="201"/>
      <c r="G15" s="201"/>
      <c r="H15" s="216">
        <v>153410.1</v>
      </c>
      <c r="I15" s="213"/>
      <c r="J15" s="213"/>
      <c r="K15" s="232"/>
      <c r="L15" s="232"/>
    </row>
    <row r="16" spans="1:12" x14ac:dyDescent="0.3">
      <c r="A16" s="154"/>
      <c r="B16" s="154"/>
      <c r="C16" s="232"/>
      <c r="D16" s="232"/>
      <c r="E16" s="232"/>
      <c r="F16" s="232"/>
      <c r="G16" s="232"/>
      <c r="H16" s="232"/>
      <c r="I16" s="232"/>
      <c r="J16" s="232"/>
      <c r="K16" s="232"/>
      <c r="L16" s="232"/>
    </row>
    <row r="17" spans="1:12" x14ac:dyDescent="0.3">
      <c r="A17" s="154"/>
      <c r="B17" s="209" t="s">
        <v>731</v>
      </c>
      <c r="C17" s="201"/>
      <c r="D17" s="201"/>
      <c r="E17" s="201"/>
      <c r="F17" s="201"/>
      <c r="G17" s="201"/>
      <c r="H17" s="210">
        <v>153410.1</v>
      </c>
      <c r="I17" s="201"/>
      <c r="J17" s="201"/>
      <c r="K17" s="154"/>
      <c r="L17" s="154"/>
    </row>
    <row r="18" spans="1:12" x14ac:dyDescent="0.3">
      <c r="A18" s="154"/>
      <c r="B18" s="209" t="s">
        <v>730</v>
      </c>
      <c r="C18" s="201"/>
      <c r="D18" s="201"/>
      <c r="E18" s="211" t="s">
        <v>732</v>
      </c>
      <c r="F18" s="201"/>
      <c r="G18" s="201"/>
      <c r="H18" s="216">
        <v>153410.1</v>
      </c>
      <c r="I18" s="213"/>
      <c r="J18" s="213"/>
      <c r="K18" s="154"/>
      <c r="L18" s="154"/>
    </row>
    <row r="19" spans="1:12" x14ac:dyDescent="0.3">
      <c r="A19" s="154"/>
      <c r="B19" s="209" t="s">
        <v>730</v>
      </c>
      <c r="C19" s="201"/>
      <c r="D19" s="201"/>
      <c r="E19" s="217" t="s">
        <v>730</v>
      </c>
      <c r="F19" s="201"/>
      <c r="G19" s="234" t="s">
        <v>730</v>
      </c>
      <c r="H19" s="209" t="s">
        <v>730</v>
      </c>
      <c r="I19" s="201"/>
      <c r="J19" s="201"/>
      <c r="K19" s="154"/>
      <c r="L19" s="154"/>
    </row>
    <row r="20" spans="1:12" ht="15" thickBot="1" x14ac:dyDescent="0.35">
      <c r="A20" s="154"/>
      <c r="B20" s="209" t="s">
        <v>14</v>
      </c>
      <c r="C20" s="201"/>
      <c r="D20" s="201"/>
      <c r="E20" s="217" t="s">
        <v>733</v>
      </c>
      <c r="F20" s="201"/>
      <c r="G20" s="201"/>
      <c r="H20" s="218">
        <v>0</v>
      </c>
      <c r="I20" s="219"/>
      <c r="J20" s="219"/>
      <c r="K20" s="154"/>
      <c r="L20" s="154"/>
    </row>
  </sheetData>
  <mergeCells count="21">
    <mergeCell ref="B19:D19"/>
    <mergeCell ref="E19:F19"/>
    <mergeCell ref="H19:J19"/>
    <mergeCell ref="B20:D20"/>
    <mergeCell ref="E20:G20"/>
    <mergeCell ref="H20:J20"/>
    <mergeCell ref="B17:G17"/>
    <mergeCell ref="H17:J17"/>
    <mergeCell ref="B18:D18"/>
    <mergeCell ref="E18:G18"/>
    <mergeCell ref="H18:J18"/>
    <mergeCell ref="D9:H9"/>
    <mergeCell ref="D11:H11"/>
    <mergeCell ref="B14:G14"/>
    <mergeCell ref="H14:J14"/>
    <mergeCell ref="B15:D15"/>
    <mergeCell ref="E15:G15"/>
    <mergeCell ref="H15:J15"/>
    <mergeCell ref="D2:H3"/>
    <mergeCell ref="C5:H5"/>
    <mergeCell ref="D7:H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T43"/>
  <sheetViews>
    <sheetView workbookViewId="0"/>
  </sheetViews>
  <sheetFormatPr defaultRowHeight="14.4" x14ac:dyDescent="0.3"/>
  <cols>
    <col min="1" max="1" width="2" customWidth="1"/>
  </cols>
  <sheetData>
    <row r="1" spans="1:20" x14ac:dyDescent="0.3">
      <c r="A1" s="154"/>
      <c r="B1" s="154"/>
      <c r="C1" s="154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</row>
    <row r="2" spans="1:20" x14ac:dyDescent="0.3">
      <c r="A2" s="154"/>
      <c r="B2" s="154"/>
      <c r="C2" s="154"/>
      <c r="D2" s="235"/>
      <c r="E2" s="235"/>
      <c r="F2" s="200" t="s">
        <v>808</v>
      </c>
      <c r="G2" s="201"/>
      <c r="H2" s="201"/>
      <c r="I2" s="201"/>
      <c r="J2" s="201"/>
      <c r="K2" s="201"/>
      <c r="L2" s="201"/>
      <c r="M2" s="201"/>
      <c r="N2" s="201"/>
      <c r="O2" s="235"/>
      <c r="P2" s="235"/>
      <c r="Q2" s="235"/>
      <c r="R2" s="202">
        <v>46155.415678310201</v>
      </c>
      <c r="S2" s="201"/>
      <c r="T2" s="201"/>
    </row>
    <row r="3" spans="1:20" x14ac:dyDescent="0.3">
      <c r="A3" s="154"/>
      <c r="B3" s="154"/>
      <c r="C3" s="154"/>
      <c r="D3" s="235"/>
      <c r="E3" s="235"/>
      <c r="F3" s="201"/>
      <c r="G3" s="201"/>
      <c r="H3" s="201"/>
      <c r="I3" s="201"/>
      <c r="J3" s="201"/>
      <c r="K3" s="201"/>
      <c r="L3" s="201"/>
      <c r="M3" s="201"/>
      <c r="N3" s="201"/>
      <c r="O3" s="235"/>
      <c r="P3" s="235"/>
      <c r="Q3" s="235"/>
      <c r="R3" s="235"/>
      <c r="S3" s="235"/>
      <c r="T3" s="235"/>
    </row>
    <row r="4" spans="1:20" x14ac:dyDescent="0.3">
      <c r="A4" s="154"/>
      <c r="B4" s="154"/>
      <c r="C4" s="154"/>
      <c r="D4" s="235"/>
      <c r="E4" s="235"/>
      <c r="F4" s="235"/>
      <c r="G4" s="235"/>
      <c r="H4" s="235"/>
      <c r="I4" s="235"/>
      <c r="J4" s="235"/>
      <c r="K4" s="235"/>
      <c r="L4" s="235"/>
      <c r="M4" s="235"/>
      <c r="N4" s="235"/>
      <c r="O4" s="235"/>
      <c r="P4" s="235"/>
      <c r="Q4" s="235"/>
      <c r="R4" s="235"/>
      <c r="S4" s="235"/>
      <c r="T4" s="235"/>
    </row>
    <row r="5" spans="1:20" ht="18" customHeight="1" x14ac:dyDescent="0.3">
      <c r="A5" s="154"/>
      <c r="B5" s="154"/>
      <c r="C5" s="154"/>
      <c r="D5" s="235"/>
      <c r="E5" s="200" t="s">
        <v>708</v>
      </c>
      <c r="F5" s="201"/>
      <c r="G5" s="201"/>
      <c r="H5" s="201"/>
      <c r="I5" s="201"/>
      <c r="J5" s="201"/>
      <c r="K5" s="201"/>
      <c r="L5" s="201"/>
      <c r="M5" s="201"/>
      <c r="N5" s="201"/>
      <c r="O5" s="235"/>
      <c r="P5" s="235"/>
      <c r="Q5" s="235"/>
      <c r="R5" s="235"/>
      <c r="S5" s="235"/>
      <c r="T5" s="235"/>
    </row>
    <row r="6" spans="1:20" x14ac:dyDescent="0.3">
      <c r="A6" s="154"/>
      <c r="B6" s="154"/>
      <c r="C6" s="154"/>
      <c r="D6" s="235"/>
      <c r="E6" s="235"/>
      <c r="F6" s="235"/>
      <c r="G6" s="235"/>
      <c r="H6" s="235"/>
      <c r="I6" s="235"/>
      <c r="J6" s="235"/>
      <c r="K6" s="235"/>
      <c r="L6" s="235"/>
      <c r="M6" s="235"/>
      <c r="N6" s="235"/>
      <c r="O6" s="235"/>
      <c r="P6" s="235"/>
      <c r="Q6" s="235"/>
      <c r="R6" s="235"/>
      <c r="S6" s="235"/>
      <c r="T6" s="235"/>
    </row>
    <row r="7" spans="1:20" x14ac:dyDescent="0.3">
      <c r="A7" s="154"/>
      <c r="B7" s="154"/>
      <c r="C7" s="154"/>
      <c r="D7" s="235"/>
      <c r="E7" s="235"/>
      <c r="F7" s="203">
        <v>46047</v>
      </c>
      <c r="G7" s="201"/>
      <c r="H7" s="201"/>
      <c r="I7" s="201"/>
      <c r="J7" s="201"/>
      <c r="K7" s="201"/>
      <c r="L7" s="201"/>
      <c r="M7" s="201"/>
      <c r="N7" s="201"/>
      <c r="O7" s="235"/>
      <c r="P7" s="235"/>
      <c r="Q7" s="235"/>
      <c r="R7" s="235"/>
      <c r="S7" s="235"/>
      <c r="T7" s="235"/>
    </row>
    <row r="8" spans="1:20" x14ac:dyDescent="0.3">
      <c r="A8" s="154"/>
      <c r="B8" s="154"/>
      <c r="C8" s="154"/>
      <c r="D8" s="235"/>
      <c r="E8" s="235"/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5"/>
      <c r="T8" s="235"/>
    </row>
    <row r="9" spans="1:20" x14ac:dyDescent="0.3">
      <c r="A9" s="154"/>
      <c r="B9" s="154"/>
      <c r="C9" s="154"/>
      <c r="D9" s="235"/>
      <c r="E9" s="235"/>
      <c r="F9" s="204" t="s">
        <v>809</v>
      </c>
      <c r="G9" s="201"/>
      <c r="H9" s="201"/>
      <c r="I9" s="201"/>
      <c r="J9" s="201"/>
      <c r="K9" s="201"/>
      <c r="L9" s="201"/>
      <c r="M9" s="201"/>
      <c r="N9" s="201"/>
      <c r="O9" s="235"/>
      <c r="P9" s="235"/>
      <c r="Q9" s="235"/>
      <c r="R9" s="235"/>
      <c r="S9" s="235"/>
      <c r="T9" s="235"/>
    </row>
    <row r="10" spans="1:20" x14ac:dyDescent="0.3">
      <c r="A10" s="154"/>
      <c r="B10" s="154"/>
      <c r="C10" s="154"/>
      <c r="D10" s="235"/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  <c r="Q10" s="235"/>
      <c r="R10" s="235"/>
      <c r="S10" s="235"/>
      <c r="T10" s="235"/>
    </row>
    <row r="11" spans="1:20" x14ac:dyDescent="0.3">
      <c r="A11" s="154"/>
      <c r="B11" s="154"/>
      <c r="C11" s="154"/>
      <c r="D11" s="235"/>
      <c r="E11" s="235"/>
      <c r="F11" s="204" t="s">
        <v>710</v>
      </c>
      <c r="G11" s="201"/>
      <c r="H11" s="201"/>
      <c r="I11" s="201"/>
      <c r="J11" s="201"/>
      <c r="K11" s="201"/>
      <c r="L11" s="201"/>
      <c r="M11" s="201"/>
      <c r="N11" s="201"/>
      <c r="O11" s="235"/>
      <c r="P11" s="235"/>
      <c r="Q11" s="235"/>
      <c r="R11" s="235"/>
      <c r="S11" s="235"/>
      <c r="T11" s="235"/>
    </row>
    <row r="12" spans="1:20" x14ac:dyDescent="0.3">
      <c r="A12" s="154"/>
      <c r="B12" s="154"/>
      <c r="C12" s="154"/>
      <c r="D12" s="235"/>
      <c r="E12" s="235"/>
      <c r="F12" s="235"/>
      <c r="G12" s="235"/>
      <c r="H12" s="235"/>
      <c r="I12" s="235"/>
      <c r="J12" s="235"/>
      <c r="K12" s="235"/>
      <c r="L12" s="235"/>
      <c r="M12" s="235"/>
      <c r="N12" s="235"/>
      <c r="O12" s="235"/>
      <c r="P12" s="235"/>
      <c r="Q12" s="235"/>
      <c r="R12" s="235"/>
      <c r="S12" s="235"/>
      <c r="T12" s="235"/>
    </row>
    <row r="13" spans="1:20" x14ac:dyDescent="0.3">
      <c r="A13" s="154"/>
      <c r="B13" s="154"/>
      <c r="C13" s="154"/>
      <c r="D13" s="235"/>
      <c r="E13" s="235"/>
      <c r="F13" s="235"/>
      <c r="G13" s="235"/>
      <c r="H13" s="235"/>
      <c r="I13" s="235"/>
      <c r="J13" s="235"/>
      <c r="K13" s="235"/>
      <c r="L13" s="235"/>
      <c r="M13" s="235"/>
      <c r="N13" s="235"/>
      <c r="O13" s="235"/>
      <c r="P13" s="235"/>
      <c r="Q13" s="235"/>
      <c r="R13" s="235"/>
      <c r="S13" s="235"/>
      <c r="T13" s="235"/>
    </row>
    <row r="14" spans="1:20" x14ac:dyDescent="0.3">
      <c r="A14" s="154"/>
      <c r="B14" s="154"/>
      <c r="C14" s="154"/>
      <c r="D14" s="209" t="s">
        <v>12</v>
      </c>
      <c r="E14" s="201"/>
      <c r="F14" s="201"/>
      <c r="G14" s="201"/>
      <c r="H14" s="201"/>
      <c r="I14" s="201"/>
      <c r="J14" s="201"/>
      <c r="K14" s="201"/>
      <c r="L14" s="201"/>
      <c r="M14" s="210">
        <v>4375</v>
      </c>
      <c r="N14" s="201"/>
      <c r="O14" s="201"/>
      <c r="P14" s="201"/>
      <c r="Q14" s="235"/>
      <c r="R14" s="235"/>
      <c r="S14" s="235"/>
      <c r="T14" s="235"/>
    </row>
    <row r="15" spans="1:20" x14ac:dyDescent="0.3">
      <c r="A15" s="154"/>
      <c r="B15" s="154"/>
      <c r="C15" s="154"/>
      <c r="D15" s="209" t="s">
        <v>730</v>
      </c>
      <c r="E15" s="201"/>
      <c r="F15" s="201"/>
      <c r="G15" s="201"/>
      <c r="H15" s="211" t="s">
        <v>13</v>
      </c>
      <c r="I15" s="201"/>
      <c r="J15" s="201"/>
      <c r="K15" s="201"/>
      <c r="L15" s="201"/>
      <c r="M15" s="216">
        <v>4375</v>
      </c>
      <c r="N15" s="213"/>
      <c r="O15" s="213"/>
      <c r="P15" s="213"/>
      <c r="Q15" s="235"/>
      <c r="R15" s="235"/>
      <c r="S15" s="235"/>
      <c r="T15" s="235"/>
    </row>
    <row r="16" spans="1:20" x14ac:dyDescent="0.3">
      <c r="A16" s="154"/>
      <c r="B16" s="154"/>
      <c r="C16" s="154"/>
      <c r="D16" s="235"/>
      <c r="E16" s="235"/>
      <c r="F16" s="235"/>
      <c r="G16" s="235"/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</row>
    <row r="17" spans="1:20" x14ac:dyDescent="0.3">
      <c r="A17" s="154"/>
      <c r="B17" s="154"/>
      <c r="C17" s="235"/>
      <c r="D17" s="209" t="s">
        <v>731</v>
      </c>
      <c r="E17" s="201"/>
      <c r="F17" s="201"/>
      <c r="G17" s="201"/>
      <c r="H17" s="201"/>
      <c r="I17" s="201"/>
      <c r="J17" s="201"/>
      <c r="K17" s="201"/>
      <c r="L17" s="201"/>
      <c r="M17" s="210">
        <v>4375</v>
      </c>
      <c r="N17" s="201"/>
      <c r="O17" s="201"/>
      <c r="P17" s="201"/>
      <c r="Q17" s="235"/>
      <c r="R17" s="235"/>
      <c r="S17" s="154"/>
      <c r="T17" s="154"/>
    </row>
    <row r="18" spans="1:20" x14ac:dyDescent="0.3">
      <c r="A18" s="154"/>
      <c r="B18" s="154"/>
      <c r="C18" s="235"/>
      <c r="D18" s="209" t="s">
        <v>730</v>
      </c>
      <c r="E18" s="201"/>
      <c r="F18" s="201"/>
      <c r="G18" s="201"/>
      <c r="H18" s="211" t="s">
        <v>732</v>
      </c>
      <c r="I18" s="201"/>
      <c r="J18" s="201"/>
      <c r="K18" s="201"/>
      <c r="L18" s="201"/>
      <c r="M18" s="216">
        <v>4375</v>
      </c>
      <c r="N18" s="213"/>
      <c r="O18" s="213"/>
      <c r="P18" s="213"/>
      <c r="Q18" s="235"/>
      <c r="R18" s="235"/>
      <c r="S18" s="154"/>
      <c r="T18" s="154"/>
    </row>
    <row r="19" spans="1:20" x14ac:dyDescent="0.3">
      <c r="A19" s="154"/>
      <c r="B19" s="154"/>
      <c r="C19" s="235"/>
      <c r="D19" s="209" t="s">
        <v>730</v>
      </c>
      <c r="E19" s="201"/>
      <c r="F19" s="201"/>
      <c r="G19" s="201"/>
      <c r="H19" s="217" t="s">
        <v>730</v>
      </c>
      <c r="I19" s="201"/>
      <c r="J19" s="217" t="s">
        <v>730</v>
      </c>
      <c r="K19" s="201"/>
      <c r="L19" s="201"/>
      <c r="M19" s="209" t="s">
        <v>730</v>
      </c>
      <c r="N19" s="201"/>
      <c r="O19" s="201"/>
      <c r="P19" s="201"/>
      <c r="Q19" s="235"/>
      <c r="R19" s="235"/>
      <c r="S19" s="154"/>
      <c r="T19" s="154"/>
    </row>
    <row r="20" spans="1:20" ht="15" thickBot="1" x14ac:dyDescent="0.35">
      <c r="A20" s="154"/>
      <c r="B20" s="154"/>
      <c r="C20" s="235"/>
      <c r="D20" s="209" t="s">
        <v>14</v>
      </c>
      <c r="E20" s="201"/>
      <c r="F20" s="201"/>
      <c r="G20" s="201"/>
      <c r="H20" s="217" t="s">
        <v>733</v>
      </c>
      <c r="I20" s="201"/>
      <c r="J20" s="201"/>
      <c r="K20" s="201"/>
      <c r="L20" s="201"/>
      <c r="M20" s="218">
        <v>0</v>
      </c>
      <c r="N20" s="219"/>
      <c r="O20" s="219"/>
      <c r="P20" s="219"/>
      <c r="Q20" s="235"/>
      <c r="R20" s="235"/>
      <c r="S20" s="154"/>
      <c r="T20" s="154"/>
    </row>
    <row r="21" spans="1:20" ht="15" thickTop="1" x14ac:dyDescent="0.3">
      <c r="A21" s="154"/>
      <c r="B21" s="154"/>
      <c r="C21" s="235"/>
      <c r="D21" s="235"/>
      <c r="E21" s="235"/>
      <c r="F21" s="235"/>
      <c r="G21" s="235"/>
      <c r="H21" s="235"/>
      <c r="I21" s="235"/>
      <c r="J21" s="235"/>
      <c r="K21" s="235"/>
      <c r="L21" s="235"/>
      <c r="M21" s="235"/>
      <c r="N21" s="235"/>
      <c r="O21" s="235"/>
      <c r="P21" s="235"/>
      <c r="Q21" s="235"/>
      <c r="R21" s="235"/>
      <c r="S21" s="154"/>
      <c r="T21" s="154"/>
    </row>
    <row r="22" spans="1:20" x14ac:dyDescent="0.3">
      <c r="A22" s="154"/>
      <c r="B22" s="154"/>
      <c r="C22" s="235"/>
      <c r="D22" s="235"/>
      <c r="E22" s="235"/>
      <c r="F22" s="235"/>
      <c r="G22" s="235"/>
      <c r="H22" s="235"/>
      <c r="I22" s="235"/>
      <c r="J22" s="235"/>
      <c r="K22" s="235"/>
      <c r="L22" s="235"/>
      <c r="M22" s="235"/>
      <c r="N22" s="235"/>
      <c r="O22" s="235"/>
      <c r="P22" s="235"/>
      <c r="Q22" s="235"/>
      <c r="R22" s="235"/>
      <c r="S22" s="154"/>
      <c r="T22" s="154"/>
    </row>
    <row r="23" spans="1:20" x14ac:dyDescent="0.3">
      <c r="A23" s="154"/>
      <c r="B23" s="154"/>
      <c r="C23" s="235"/>
      <c r="D23" s="235"/>
      <c r="E23" s="235"/>
      <c r="F23" s="235"/>
      <c r="G23" s="235"/>
      <c r="H23" s="235"/>
      <c r="I23" s="235"/>
      <c r="J23" s="235"/>
      <c r="K23" s="235"/>
      <c r="L23" s="235"/>
      <c r="M23" s="235"/>
      <c r="N23" s="235"/>
      <c r="O23" s="235"/>
      <c r="P23" s="235"/>
      <c r="Q23" s="235"/>
      <c r="R23" s="235"/>
      <c r="S23" s="154"/>
      <c r="T23" s="154"/>
    </row>
    <row r="24" spans="1:20" x14ac:dyDescent="0.3">
      <c r="A24" s="154"/>
      <c r="B24" s="154"/>
      <c r="C24" s="235"/>
      <c r="D24" s="235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35"/>
      <c r="R24" s="235"/>
      <c r="S24" s="154"/>
      <c r="T24" s="154"/>
    </row>
    <row r="25" spans="1:20" x14ac:dyDescent="0.3">
      <c r="A25" s="154"/>
      <c r="B25" s="154"/>
      <c r="C25" s="209" t="s">
        <v>734</v>
      </c>
      <c r="D25" s="201"/>
      <c r="E25" s="201"/>
      <c r="F25" s="201"/>
      <c r="G25" s="201"/>
      <c r="H25" s="201"/>
      <c r="I25" s="201"/>
      <c r="J25" s="201"/>
      <c r="K25" s="235"/>
      <c r="L25" s="235"/>
      <c r="M25" s="235"/>
      <c r="N25" s="235"/>
      <c r="O25" s="235"/>
      <c r="P25" s="235"/>
      <c r="Q25" s="235"/>
      <c r="R25" s="235"/>
      <c r="S25" s="154"/>
      <c r="T25" s="154"/>
    </row>
    <row r="26" spans="1:20" x14ac:dyDescent="0.3">
      <c r="A26" s="154"/>
      <c r="B26" s="154"/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154"/>
      <c r="T26" s="154"/>
    </row>
    <row r="27" spans="1:20" x14ac:dyDescent="0.3">
      <c r="A27" s="154"/>
      <c r="B27" s="154"/>
      <c r="C27" s="220" t="s">
        <v>730</v>
      </c>
      <c r="D27" s="201"/>
      <c r="E27" s="201"/>
      <c r="F27" s="201"/>
      <c r="G27" s="220" t="s">
        <v>730</v>
      </c>
      <c r="H27" s="201"/>
      <c r="I27" s="220" t="s">
        <v>730</v>
      </c>
      <c r="J27" s="201"/>
      <c r="K27" s="201"/>
      <c r="L27" s="220" t="s">
        <v>730</v>
      </c>
      <c r="M27" s="201"/>
      <c r="N27" s="220" t="s">
        <v>730</v>
      </c>
      <c r="O27" s="201"/>
      <c r="P27" s="201"/>
      <c r="Q27" s="201"/>
      <c r="R27" s="201"/>
      <c r="S27" s="154"/>
      <c r="T27" s="154"/>
    </row>
    <row r="28" spans="1:20" x14ac:dyDescent="0.3">
      <c r="A28" s="154"/>
      <c r="B28" s="154"/>
      <c r="C28" s="209" t="s">
        <v>810</v>
      </c>
      <c r="D28" s="201"/>
      <c r="E28" s="201"/>
      <c r="F28" s="201"/>
      <c r="G28" s="201"/>
      <c r="H28" s="201"/>
      <c r="I28" s="201"/>
      <c r="J28" s="201"/>
      <c r="K28" s="201"/>
      <c r="L28" s="209" t="s">
        <v>730</v>
      </c>
      <c r="M28" s="201"/>
      <c r="N28" s="209" t="s">
        <v>730</v>
      </c>
      <c r="O28" s="201"/>
      <c r="P28" s="201"/>
      <c r="Q28" s="201"/>
      <c r="R28" s="201"/>
      <c r="S28" s="154"/>
      <c r="T28" s="154"/>
    </row>
    <row r="29" spans="1:20" x14ac:dyDescent="0.3">
      <c r="A29" s="154"/>
      <c r="B29" s="154"/>
      <c r="C29" s="222" t="s">
        <v>730</v>
      </c>
      <c r="D29" s="201"/>
      <c r="E29" s="201"/>
      <c r="F29" s="201"/>
      <c r="G29" s="220" t="s">
        <v>730</v>
      </c>
      <c r="H29" s="201"/>
      <c r="I29" s="222" t="s">
        <v>730</v>
      </c>
      <c r="J29" s="201"/>
      <c r="K29" s="201"/>
      <c r="L29" s="222" t="s">
        <v>730</v>
      </c>
      <c r="M29" s="201"/>
      <c r="N29" s="222" t="s">
        <v>730</v>
      </c>
      <c r="O29" s="201"/>
      <c r="P29" s="201"/>
      <c r="Q29" s="201"/>
      <c r="R29" s="201"/>
      <c r="S29" s="154"/>
      <c r="T29" s="154"/>
    </row>
    <row r="30" spans="1:20" x14ac:dyDescent="0.3">
      <c r="A30" s="154"/>
      <c r="B30" s="154"/>
      <c r="C30" s="221" t="s">
        <v>1</v>
      </c>
      <c r="D30" s="213"/>
      <c r="E30" s="213"/>
      <c r="F30" s="213"/>
      <c r="G30" s="221" t="s">
        <v>147</v>
      </c>
      <c r="H30" s="213"/>
      <c r="I30" s="221" t="s">
        <v>248</v>
      </c>
      <c r="J30" s="213"/>
      <c r="K30" s="213"/>
      <c r="L30" s="221" t="s">
        <v>17</v>
      </c>
      <c r="M30" s="213"/>
      <c r="N30" s="221" t="s">
        <v>302</v>
      </c>
      <c r="O30" s="213"/>
      <c r="P30" s="213"/>
      <c r="Q30" s="213"/>
      <c r="R30" s="213"/>
      <c r="S30" s="154"/>
      <c r="T30" s="154"/>
    </row>
    <row r="31" spans="1:20" x14ac:dyDescent="0.3">
      <c r="A31" s="154"/>
      <c r="B31" s="154"/>
      <c r="C31" s="223">
        <v>46024</v>
      </c>
      <c r="D31" s="201"/>
      <c r="E31" s="201"/>
      <c r="F31" s="201"/>
      <c r="G31" s="224" t="s">
        <v>811</v>
      </c>
      <c r="H31" s="201"/>
      <c r="I31" s="225" t="s">
        <v>730</v>
      </c>
      <c r="J31" s="201"/>
      <c r="K31" s="201"/>
      <c r="L31" s="226">
        <v>555863.01</v>
      </c>
      <c r="M31" s="201"/>
      <c r="N31" s="227">
        <v>46047</v>
      </c>
      <c r="O31" s="201"/>
      <c r="P31" s="201"/>
      <c r="Q31" s="201"/>
      <c r="R31" s="201"/>
      <c r="S31" s="154"/>
      <c r="T31" s="154"/>
    </row>
    <row r="32" spans="1:20" x14ac:dyDescent="0.3">
      <c r="A32" s="154"/>
      <c r="B32" s="154"/>
      <c r="C32" s="223">
        <v>46027</v>
      </c>
      <c r="D32" s="201"/>
      <c r="E32" s="201"/>
      <c r="F32" s="201"/>
      <c r="G32" s="224" t="s">
        <v>812</v>
      </c>
      <c r="H32" s="201"/>
      <c r="I32" s="225" t="s">
        <v>730</v>
      </c>
      <c r="J32" s="201"/>
      <c r="K32" s="201"/>
      <c r="L32" s="226">
        <v>623273.65</v>
      </c>
      <c r="M32" s="201"/>
      <c r="N32" s="227">
        <v>46047</v>
      </c>
      <c r="O32" s="201"/>
      <c r="P32" s="201"/>
      <c r="Q32" s="201"/>
      <c r="R32" s="201"/>
      <c r="S32" s="154"/>
      <c r="T32" s="154"/>
    </row>
    <row r="33" spans="1:20" x14ac:dyDescent="0.3">
      <c r="A33" s="154"/>
      <c r="B33" s="154"/>
      <c r="C33" s="223">
        <v>46028</v>
      </c>
      <c r="D33" s="201"/>
      <c r="E33" s="201"/>
      <c r="F33" s="201"/>
      <c r="G33" s="224" t="s">
        <v>813</v>
      </c>
      <c r="H33" s="201"/>
      <c r="I33" s="225" t="s">
        <v>730</v>
      </c>
      <c r="J33" s="201"/>
      <c r="K33" s="201"/>
      <c r="L33" s="226">
        <v>294162.71000000002</v>
      </c>
      <c r="M33" s="201"/>
      <c r="N33" s="227">
        <v>46047</v>
      </c>
      <c r="O33" s="201"/>
      <c r="P33" s="201"/>
      <c r="Q33" s="201"/>
      <c r="R33" s="201"/>
      <c r="S33" s="154"/>
      <c r="T33" s="154"/>
    </row>
    <row r="34" spans="1:20" x14ac:dyDescent="0.3">
      <c r="A34" s="154"/>
      <c r="B34" s="154"/>
      <c r="C34" s="223">
        <v>46029</v>
      </c>
      <c r="D34" s="201"/>
      <c r="E34" s="201"/>
      <c r="F34" s="201"/>
      <c r="G34" s="224" t="s">
        <v>814</v>
      </c>
      <c r="H34" s="201"/>
      <c r="I34" s="225" t="s">
        <v>730</v>
      </c>
      <c r="J34" s="201"/>
      <c r="K34" s="201"/>
      <c r="L34" s="226">
        <v>294162.71000000002</v>
      </c>
      <c r="M34" s="201"/>
      <c r="N34" s="227">
        <v>46047</v>
      </c>
      <c r="O34" s="201"/>
      <c r="P34" s="201"/>
      <c r="Q34" s="201"/>
      <c r="R34" s="201"/>
      <c r="S34" s="154"/>
      <c r="T34" s="154"/>
    </row>
    <row r="35" spans="1:20" x14ac:dyDescent="0.3">
      <c r="A35" s="154"/>
      <c r="B35" s="154"/>
      <c r="C35" s="209" t="s">
        <v>815</v>
      </c>
      <c r="D35" s="201"/>
      <c r="E35" s="201"/>
      <c r="F35" s="201"/>
      <c r="G35" s="201"/>
      <c r="H35" s="201"/>
      <c r="I35" s="201"/>
      <c r="J35" s="201"/>
      <c r="K35" s="201"/>
      <c r="L35" s="228">
        <v>1767462.08</v>
      </c>
      <c r="M35" s="229"/>
      <c r="N35" s="209" t="s">
        <v>730</v>
      </c>
      <c r="O35" s="201"/>
      <c r="P35" s="201"/>
      <c r="Q35" s="201"/>
      <c r="R35" s="201"/>
      <c r="S35" s="154"/>
      <c r="T35" s="154"/>
    </row>
    <row r="36" spans="1:20" x14ac:dyDescent="0.3">
      <c r="A36" s="154"/>
      <c r="B36" s="154"/>
      <c r="C36" s="209" t="s">
        <v>799</v>
      </c>
      <c r="D36" s="201"/>
      <c r="E36" s="201"/>
      <c r="F36" s="201"/>
      <c r="G36" s="201"/>
      <c r="H36" s="201"/>
      <c r="I36" s="201"/>
      <c r="J36" s="201"/>
      <c r="K36" s="201"/>
      <c r="L36" s="209" t="s">
        <v>730</v>
      </c>
      <c r="M36" s="201"/>
      <c r="N36" s="209" t="s">
        <v>730</v>
      </c>
      <c r="O36" s="201"/>
      <c r="P36" s="201"/>
      <c r="Q36" s="201"/>
      <c r="R36" s="201"/>
      <c r="S36" s="154"/>
      <c r="T36" s="154"/>
    </row>
    <row r="37" spans="1:20" x14ac:dyDescent="0.3">
      <c r="A37" s="154"/>
      <c r="B37" s="154"/>
      <c r="C37" s="222" t="s">
        <v>730</v>
      </c>
      <c r="D37" s="201"/>
      <c r="E37" s="201"/>
      <c r="F37" s="201"/>
      <c r="G37" s="220" t="s">
        <v>730</v>
      </c>
      <c r="H37" s="201"/>
      <c r="I37" s="222" t="s">
        <v>730</v>
      </c>
      <c r="J37" s="201"/>
      <c r="K37" s="201"/>
      <c r="L37" s="222" t="s">
        <v>730</v>
      </c>
      <c r="M37" s="201"/>
      <c r="N37" s="222" t="s">
        <v>730</v>
      </c>
      <c r="O37" s="201"/>
      <c r="P37" s="201"/>
      <c r="Q37" s="201"/>
      <c r="R37" s="201"/>
      <c r="S37" s="154"/>
      <c r="T37" s="154"/>
    </row>
    <row r="38" spans="1:20" x14ac:dyDescent="0.3">
      <c r="A38" s="154"/>
      <c r="B38" s="154"/>
      <c r="C38" s="221" t="s">
        <v>1</v>
      </c>
      <c r="D38" s="213"/>
      <c r="E38" s="213"/>
      <c r="F38" s="213"/>
      <c r="G38" s="221" t="s">
        <v>147</v>
      </c>
      <c r="H38" s="213"/>
      <c r="I38" s="221" t="s">
        <v>248</v>
      </c>
      <c r="J38" s="213"/>
      <c r="K38" s="213"/>
      <c r="L38" s="221" t="s">
        <v>17</v>
      </c>
      <c r="M38" s="213"/>
      <c r="N38" s="221" t="s">
        <v>302</v>
      </c>
      <c r="O38" s="213"/>
      <c r="P38" s="213"/>
      <c r="Q38" s="213"/>
      <c r="R38" s="213"/>
      <c r="S38" s="154"/>
      <c r="T38" s="154"/>
    </row>
    <row r="39" spans="1:20" x14ac:dyDescent="0.3">
      <c r="A39" s="154"/>
      <c r="B39" s="154"/>
      <c r="C39" s="223">
        <v>46024</v>
      </c>
      <c r="D39" s="201"/>
      <c r="E39" s="201"/>
      <c r="F39" s="201"/>
      <c r="G39" s="224" t="s">
        <v>800</v>
      </c>
      <c r="H39" s="201"/>
      <c r="I39" s="225" t="s">
        <v>4</v>
      </c>
      <c r="J39" s="201"/>
      <c r="K39" s="201"/>
      <c r="L39" s="226">
        <v>-217871.54</v>
      </c>
      <c r="M39" s="201"/>
      <c r="N39" s="227">
        <v>46047</v>
      </c>
      <c r="O39" s="201"/>
      <c r="P39" s="201"/>
      <c r="Q39" s="201"/>
      <c r="R39" s="201"/>
      <c r="S39" s="154"/>
      <c r="T39" s="154"/>
    </row>
    <row r="40" spans="1:20" x14ac:dyDescent="0.3">
      <c r="A40" s="154"/>
      <c r="B40" s="154"/>
      <c r="C40" s="223">
        <v>46027</v>
      </c>
      <c r="D40" s="201"/>
      <c r="E40" s="201"/>
      <c r="F40" s="201"/>
      <c r="G40" s="224" t="s">
        <v>801</v>
      </c>
      <c r="H40" s="201"/>
      <c r="I40" s="225" t="s">
        <v>5</v>
      </c>
      <c r="J40" s="201"/>
      <c r="K40" s="201"/>
      <c r="L40" s="226">
        <v>-960640.12</v>
      </c>
      <c r="M40" s="201"/>
      <c r="N40" s="227">
        <v>46047</v>
      </c>
      <c r="O40" s="201"/>
      <c r="P40" s="201"/>
      <c r="Q40" s="201"/>
      <c r="R40" s="201"/>
      <c r="S40" s="154"/>
      <c r="T40" s="154"/>
    </row>
    <row r="41" spans="1:20" x14ac:dyDescent="0.3">
      <c r="A41" s="154"/>
      <c r="B41" s="154"/>
      <c r="C41" s="223">
        <v>46029</v>
      </c>
      <c r="D41" s="201"/>
      <c r="E41" s="201"/>
      <c r="F41" s="201"/>
      <c r="G41" s="224" t="s">
        <v>803</v>
      </c>
      <c r="H41" s="201"/>
      <c r="I41" s="225" t="s">
        <v>10</v>
      </c>
      <c r="J41" s="201"/>
      <c r="K41" s="201"/>
      <c r="L41" s="226">
        <v>-588325.42000000004</v>
      </c>
      <c r="M41" s="201"/>
      <c r="N41" s="227">
        <v>46047</v>
      </c>
      <c r="O41" s="201"/>
      <c r="P41" s="201"/>
      <c r="Q41" s="201"/>
      <c r="R41" s="201"/>
      <c r="S41" s="154"/>
      <c r="T41" s="154"/>
    </row>
    <row r="42" spans="1:20" x14ac:dyDescent="0.3">
      <c r="A42" s="154"/>
      <c r="B42" s="154"/>
      <c r="C42" s="223">
        <v>46031</v>
      </c>
      <c r="D42" s="201"/>
      <c r="E42" s="201"/>
      <c r="F42" s="201"/>
      <c r="G42" s="224" t="s">
        <v>816</v>
      </c>
      <c r="H42" s="201"/>
      <c r="I42" s="225" t="s">
        <v>817</v>
      </c>
      <c r="J42" s="201"/>
      <c r="K42" s="201"/>
      <c r="L42" s="226">
        <v>-625</v>
      </c>
      <c r="M42" s="201"/>
      <c r="N42" s="227">
        <v>46047</v>
      </c>
      <c r="O42" s="201"/>
      <c r="P42" s="201"/>
      <c r="Q42" s="201"/>
      <c r="R42" s="201"/>
      <c r="S42" s="154"/>
      <c r="T42" s="154"/>
    </row>
    <row r="43" spans="1:20" x14ac:dyDescent="0.3">
      <c r="A43" s="154"/>
      <c r="B43" s="154"/>
      <c r="C43" s="209" t="s">
        <v>804</v>
      </c>
      <c r="D43" s="201"/>
      <c r="E43" s="201"/>
      <c r="F43" s="201"/>
      <c r="G43" s="201"/>
      <c r="H43" s="201"/>
      <c r="I43" s="201"/>
      <c r="J43" s="201"/>
      <c r="K43" s="201"/>
      <c r="L43" s="228">
        <v>-1767462.08</v>
      </c>
      <c r="M43" s="229"/>
      <c r="N43" s="209" t="s">
        <v>730</v>
      </c>
      <c r="O43" s="201"/>
      <c r="P43" s="201"/>
      <c r="Q43" s="201"/>
      <c r="R43" s="201"/>
      <c r="S43" s="154"/>
      <c r="T43" s="154"/>
    </row>
  </sheetData>
  <mergeCells count="101">
    <mergeCell ref="C43:K43"/>
    <mergeCell ref="L43:M43"/>
    <mergeCell ref="N43:R43"/>
    <mergeCell ref="C42:F42"/>
    <mergeCell ref="G42:H42"/>
    <mergeCell ref="I42:K42"/>
    <mergeCell ref="L42:M42"/>
    <mergeCell ref="N42:R42"/>
    <mergeCell ref="C41:F41"/>
    <mergeCell ref="G41:H41"/>
    <mergeCell ref="I41:K41"/>
    <mergeCell ref="L41:M41"/>
    <mergeCell ref="N41:R41"/>
    <mergeCell ref="C40:F40"/>
    <mergeCell ref="G40:H40"/>
    <mergeCell ref="I40:K40"/>
    <mergeCell ref="L40:M40"/>
    <mergeCell ref="N40:R40"/>
    <mergeCell ref="C39:F39"/>
    <mergeCell ref="G39:H39"/>
    <mergeCell ref="I39:K39"/>
    <mergeCell ref="L39:M39"/>
    <mergeCell ref="N39:R39"/>
    <mergeCell ref="C38:F38"/>
    <mergeCell ref="G38:H38"/>
    <mergeCell ref="I38:K38"/>
    <mergeCell ref="L38:M38"/>
    <mergeCell ref="N38:R38"/>
    <mergeCell ref="C37:F37"/>
    <mergeCell ref="G37:H37"/>
    <mergeCell ref="I37:K37"/>
    <mergeCell ref="L37:M37"/>
    <mergeCell ref="N37:R37"/>
    <mergeCell ref="C35:K35"/>
    <mergeCell ref="L35:M35"/>
    <mergeCell ref="N35:R35"/>
    <mergeCell ref="C36:K36"/>
    <mergeCell ref="L36:M36"/>
    <mergeCell ref="N36:R36"/>
    <mergeCell ref="C34:F34"/>
    <mergeCell ref="G34:H34"/>
    <mergeCell ref="I34:K34"/>
    <mergeCell ref="L34:M34"/>
    <mergeCell ref="N34:R34"/>
    <mergeCell ref="C33:F33"/>
    <mergeCell ref="G33:H33"/>
    <mergeCell ref="I33:K33"/>
    <mergeCell ref="L33:M33"/>
    <mergeCell ref="N33:R33"/>
    <mergeCell ref="C32:F32"/>
    <mergeCell ref="G32:H32"/>
    <mergeCell ref="I32:K32"/>
    <mergeCell ref="L32:M32"/>
    <mergeCell ref="N32:R32"/>
    <mergeCell ref="C31:F31"/>
    <mergeCell ref="G31:H31"/>
    <mergeCell ref="I31:K31"/>
    <mergeCell ref="L31:M31"/>
    <mergeCell ref="N31:R31"/>
    <mergeCell ref="C30:F30"/>
    <mergeCell ref="G30:H30"/>
    <mergeCell ref="I30:K30"/>
    <mergeCell ref="L30:M30"/>
    <mergeCell ref="N30:R30"/>
    <mergeCell ref="N27:R27"/>
    <mergeCell ref="C28:K28"/>
    <mergeCell ref="L28:M28"/>
    <mergeCell ref="N28:R28"/>
    <mergeCell ref="C29:F29"/>
    <mergeCell ref="G29:H29"/>
    <mergeCell ref="I29:K29"/>
    <mergeCell ref="L29:M29"/>
    <mergeCell ref="N29:R29"/>
    <mergeCell ref="F2:N3"/>
    <mergeCell ref="R2:T2"/>
    <mergeCell ref="E5:N5"/>
    <mergeCell ref="F7:N7"/>
    <mergeCell ref="F9:N9"/>
    <mergeCell ref="D17:L17"/>
    <mergeCell ref="M17:P17"/>
    <mergeCell ref="D18:G18"/>
    <mergeCell ref="H18:L18"/>
    <mergeCell ref="M18:P18"/>
    <mergeCell ref="F11:N11"/>
    <mergeCell ref="D14:L14"/>
    <mergeCell ref="M14:P14"/>
    <mergeCell ref="D15:G15"/>
    <mergeCell ref="H15:L15"/>
    <mergeCell ref="M15:P15"/>
    <mergeCell ref="C25:J25"/>
    <mergeCell ref="C27:F27"/>
    <mergeCell ref="G27:H27"/>
    <mergeCell ref="I27:K27"/>
    <mergeCell ref="L27:M27"/>
    <mergeCell ref="D19:G19"/>
    <mergeCell ref="H19:I19"/>
    <mergeCell ref="J19:L19"/>
    <mergeCell ref="M19:P19"/>
    <mergeCell ref="D20:G20"/>
    <mergeCell ref="H20:L20"/>
    <mergeCell ref="M20:P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B1:D39"/>
  <sheetViews>
    <sheetView workbookViewId="0"/>
  </sheetViews>
  <sheetFormatPr defaultRowHeight="14.4" x14ac:dyDescent="0.3"/>
  <cols>
    <col min="1" max="1" width="2" customWidth="1"/>
    <col min="2" max="2" width="14" customWidth="1"/>
    <col min="3" max="3" width="52" customWidth="1"/>
    <col min="4" max="4" width="18" customWidth="1"/>
  </cols>
  <sheetData>
    <row r="1" spans="2:4" ht="18" x14ac:dyDescent="0.35">
      <c r="B1" s="95" t="s">
        <v>525</v>
      </c>
      <c r="C1" s="95"/>
      <c r="D1" s="94"/>
    </row>
    <row r="2" spans="2:4" ht="18" x14ac:dyDescent="0.35">
      <c r="B2" s="95" t="s">
        <v>667</v>
      </c>
      <c r="C2" s="95"/>
      <c r="D2" s="94"/>
    </row>
    <row r="3" spans="2:4" x14ac:dyDescent="0.3">
      <c r="B3" s="96" t="s">
        <v>0</v>
      </c>
      <c r="C3" s="96"/>
      <c r="D3" s="94"/>
    </row>
    <row r="5" spans="2:4" ht="18" customHeight="1" x14ac:dyDescent="0.3">
      <c r="B5" s="1" t="s">
        <v>1</v>
      </c>
      <c r="C5" s="1" t="s">
        <v>2</v>
      </c>
      <c r="D5" s="1" t="s">
        <v>17</v>
      </c>
    </row>
    <row r="6" spans="2:4" x14ac:dyDescent="0.3">
      <c r="C6" s="63" t="s">
        <v>3</v>
      </c>
      <c r="D6" s="61"/>
    </row>
    <row r="7" spans="2:4" x14ac:dyDescent="0.3">
      <c r="B7" s="2" t="s">
        <v>43</v>
      </c>
      <c r="C7" s="3" t="s">
        <v>44</v>
      </c>
      <c r="D7" s="4">
        <v>232339</v>
      </c>
    </row>
    <row r="8" spans="2:4" x14ac:dyDescent="0.3">
      <c r="B8" s="5" t="s">
        <v>46</v>
      </c>
      <c r="C8" s="6" t="s">
        <v>47</v>
      </c>
      <c r="D8" s="7">
        <v>232339</v>
      </c>
    </row>
    <row r="9" spans="2:4" x14ac:dyDescent="0.3">
      <c r="B9" s="2" t="s">
        <v>48</v>
      </c>
      <c r="C9" s="3" t="s">
        <v>49</v>
      </c>
      <c r="D9" s="4">
        <v>232339</v>
      </c>
    </row>
    <row r="10" spans="2:4" x14ac:dyDescent="0.3">
      <c r="B10" s="5" t="s">
        <v>50</v>
      </c>
      <c r="C10" s="6" t="s">
        <v>51</v>
      </c>
      <c r="D10" s="7">
        <v>232339</v>
      </c>
    </row>
    <row r="11" spans="2:4" x14ac:dyDescent="0.3">
      <c r="B11" s="2" t="s">
        <v>50</v>
      </c>
      <c r="C11" s="14" t="s">
        <v>52</v>
      </c>
      <c r="D11" s="15">
        <v>-680420.84</v>
      </c>
    </row>
    <row r="12" spans="2:4" x14ac:dyDescent="0.3">
      <c r="B12" s="5" t="s">
        <v>53</v>
      </c>
      <c r="C12" s="6" t="s">
        <v>54</v>
      </c>
      <c r="D12" s="7">
        <v>232339</v>
      </c>
    </row>
    <row r="13" spans="2:4" x14ac:dyDescent="0.3">
      <c r="B13" s="2" t="s">
        <v>55</v>
      </c>
      <c r="C13" s="3" t="s">
        <v>56</v>
      </c>
      <c r="D13" s="4">
        <v>216069.98</v>
      </c>
    </row>
    <row r="14" spans="2:4" x14ac:dyDescent="0.3">
      <c r="B14" s="5" t="s">
        <v>57</v>
      </c>
      <c r="C14" s="6" t="s">
        <v>58</v>
      </c>
      <c r="D14" s="7">
        <v>216069.98</v>
      </c>
    </row>
    <row r="15" spans="2:4" x14ac:dyDescent="0.3">
      <c r="B15" s="2" t="s">
        <v>59</v>
      </c>
      <c r="C15" s="14" t="s">
        <v>60</v>
      </c>
      <c r="D15" s="15">
        <v>-680420.84</v>
      </c>
    </row>
    <row r="16" spans="2:4" x14ac:dyDescent="0.3">
      <c r="B16" s="5" t="s">
        <v>61</v>
      </c>
      <c r="C16" s="6" t="s">
        <v>62</v>
      </c>
      <c r="D16" s="7">
        <v>216069.98</v>
      </c>
    </row>
    <row r="17" spans="2:4" x14ac:dyDescent="0.3">
      <c r="B17" s="2" t="s">
        <v>63</v>
      </c>
      <c r="C17" s="3" t="s">
        <v>64</v>
      </c>
      <c r="D17" s="4">
        <v>216069.98</v>
      </c>
    </row>
    <row r="18" spans="2:4" x14ac:dyDescent="0.3">
      <c r="B18" s="5" t="s">
        <v>65</v>
      </c>
      <c r="C18" s="6" t="s">
        <v>66</v>
      </c>
      <c r="D18" s="7">
        <v>216069.98</v>
      </c>
    </row>
    <row r="19" spans="2:4" x14ac:dyDescent="0.3">
      <c r="B19" s="2" t="s">
        <v>67</v>
      </c>
      <c r="C19" s="14" t="s">
        <v>68</v>
      </c>
      <c r="D19" s="15">
        <v>-651630.68999999994</v>
      </c>
    </row>
    <row r="20" spans="2:4" x14ac:dyDescent="0.3">
      <c r="B20" s="5" t="s">
        <v>69</v>
      </c>
      <c r="C20" s="6" t="s">
        <v>70</v>
      </c>
      <c r="D20" s="7">
        <v>216069.98</v>
      </c>
    </row>
    <row r="21" spans="2:4" x14ac:dyDescent="0.3">
      <c r="B21" s="2" t="s">
        <v>71</v>
      </c>
      <c r="C21" s="3" t="s">
        <v>72</v>
      </c>
      <c r="D21" s="4">
        <v>216069.98</v>
      </c>
    </row>
    <row r="22" spans="2:4" x14ac:dyDescent="0.3">
      <c r="B22" s="5" t="s">
        <v>73</v>
      </c>
      <c r="C22" s="6" t="s">
        <v>74</v>
      </c>
      <c r="D22" s="7">
        <v>216069.98</v>
      </c>
    </row>
    <row r="23" spans="2:4" x14ac:dyDescent="0.3">
      <c r="B23" s="2" t="s">
        <v>75</v>
      </c>
      <c r="C23" s="14" t="s">
        <v>76</v>
      </c>
      <c r="D23" s="15">
        <v>-651630.68999999994</v>
      </c>
    </row>
    <row r="24" spans="2:4" x14ac:dyDescent="0.3">
      <c r="B24" s="5" t="s">
        <v>77</v>
      </c>
      <c r="C24" s="6" t="s">
        <v>78</v>
      </c>
      <c r="D24" s="7">
        <v>216069.98</v>
      </c>
    </row>
    <row r="25" spans="2:4" x14ac:dyDescent="0.3">
      <c r="B25" s="2" t="s">
        <v>79</v>
      </c>
      <c r="C25" s="3" t="s">
        <v>80</v>
      </c>
      <c r="D25" s="4">
        <v>216069.98</v>
      </c>
    </row>
    <row r="26" spans="2:4" x14ac:dyDescent="0.3">
      <c r="B26" s="5" t="s">
        <v>81</v>
      </c>
      <c r="C26" s="6" t="s">
        <v>82</v>
      </c>
      <c r="D26" s="7">
        <v>216069.98</v>
      </c>
    </row>
    <row r="27" spans="2:4" x14ac:dyDescent="0.3">
      <c r="B27" s="2" t="s">
        <v>83</v>
      </c>
      <c r="C27" s="14" t="s">
        <v>84</v>
      </c>
      <c r="D27" s="15">
        <v>-682671.08</v>
      </c>
    </row>
    <row r="28" spans="2:4" x14ac:dyDescent="0.3">
      <c r="B28" s="5" t="s">
        <v>85</v>
      </c>
      <c r="C28" s="6" t="s">
        <v>86</v>
      </c>
      <c r="D28" s="7">
        <v>216069.98</v>
      </c>
    </row>
    <row r="29" spans="2:4" x14ac:dyDescent="0.3">
      <c r="B29" s="2" t="s">
        <v>87</v>
      </c>
      <c r="C29" s="3" t="s">
        <v>88</v>
      </c>
      <c r="D29" s="4">
        <v>216069.98</v>
      </c>
    </row>
    <row r="30" spans="2:4" x14ac:dyDescent="0.3">
      <c r="B30" s="5" t="s">
        <v>89</v>
      </c>
      <c r="C30" s="6" t="s">
        <v>90</v>
      </c>
      <c r="D30" s="7">
        <v>216069.98</v>
      </c>
    </row>
    <row r="31" spans="2:4" x14ac:dyDescent="0.3">
      <c r="B31" s="2" t="s">
        <v>91</v>
      </c>
      <c r="C31" s="14" t="s">
        <v>92</v>
      </c>
      <c r="D31" s="15">
        <v>-682671.07</v>
      </c>
    </row>
    <row r="32" spans="2:4" x14ac:dyDescent="0.3">
      <c r="B32" s="5" t="s">
        <v>93</v>
      </c>
      <c r="C32" s="6" t="s">
        <v>94</v>
      </c>
      <c r="D32" s="7">
        <v>216069.98</v>
      </c>
    </row>
    <row r="33" spans="2:4" x14ac:dyDescent="0.3">
      <c r="B33" s="2" t="s">
        <v>95</v>
      </c>
      <c r="C33" s="3" t="s">
        <v>96</v>
      </c>
      <c r="D33" s="4">
        <v>203295.19</v>
      </c>
    </row>
    <row r="34" spans="2:4" x14ac:dyDescent="0.3">
      <c r="B34" s="5" t="s">
        <v>9</v>
      </c>
      <c r="C34" s="6" t="s">
        <v>11</v>
      </c>
      <c r="D34" s="7">
        <v>203295.19</v>
      </c>
    </row>
    <row r="35" spans="2:4" x14ac:dyDescent="0.3">
      <c r="B35" s="2" t="s">
        <v>97</v>
      </c>
      <c r="C35" s="14" t="s">
        <v>92</v>
      </c>
      <c r="D35" s="15">
        <v>-498750.81</v>
      </c>
    </row>
    <row r="36" spans="2:4" ht="15" thickBot="1" x14ac:dyDescent="0.35"/>
    <row r="37" spans="2:4" x14ac:dyDescent="0.3">
      <c r="B37" s="89" t="s">
        <v>34</v>
      </c>
      <c r="C37" s="90"/>
      <c r="D37" s="91">
        <f>SUM(D7:D35)</f>
        <v>281139.05999999988</v>
      </c>
    </row>
    <row r="38" spans="2:4" x14ac:dyDescent="0.3">
      <c r="B38" s="82" t="s">
        <v>35</v>
      </c>
      <c r="C38" s="92"/>
      <c r="D38" s="88">
        <f>VLOOKUP(B1,'Trial Balance'!$A:$F,6,0)</f>
        <v>281139.06</v>
      </c>
    </row>
    <row r="39" spans="2:4" x14ac:dyDescent="0.3">
      <c r="B39" s="86" t="s">
        <v>36</v>
      </c>
      <c r="C39" s="87"/>
      <c r="D39" s="97">
        <f>D37-D38</f>
        <v>0</v>
      </c>
    </row>
  </sheetData>
  <mergeCells count="7">
    <mergeCell ref="B37:C37"/>
    <mergeCell ref="B38:C38"/>
    <mergeCell ref="B39:C39"/>
    <mergeCell ref="B1:C1"/>
    <mergeCell ref="B2:C2"/>
    <mergeCell ref="B3:C3"/>
    <mergeCell ref="C6:D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B1:D31"/>
  <sheetViews>
    <sheetView workbookViewId="0"/>
  </sheetViews>
  <sheetFormatPr defaultRowHeight="14.4" x14ac:dyDescent="0.3"/>
  <cols>
    <col min="1" max="1" width="2" customWidth="1"/>
    <col min="2" max="2" width="14" customWidth="1"/>
    <col min="3" max="3" width="52" customWidth="1"/>
    <col min="4" max="4" width="18" customWidth="1"/>
  </cols>
  <sheetData>
    <row r="1" spans="2:4" ht="18" x14ac:dyDescent="0.35">
      <c r="B1" s="95" t="s">
        <v>527</v>
      </c>
      <c r="C1" s="95"/>
      <c r="D1" s="94"/>
    </row>
    <row r="2" spans="2:4" ht="18" x14ac:dyDescent="0.35">
      <c r="B2" s="95" t="s">
        <v>668</v>
      </c>
      <c r="C2" s="95"/>
      <c r="D2" s="94"/>
    </row>
    <row r="3" spans="2:4" x14ac:dyDescent="0.3">
      <c r="B3" s="96" t="s">
        <v>0</v>
      </c>
      <c r="C3" s="96"/>
      <c r="D3" s="94"/>
    </row>
    <row r="5" spans="2:4" ht="18" customHeight="1" x14ac:dyDescent="0.3">
      <c r="B5" s="1" t="s">
        <v>1</v>
      </c>
      <c r="C5" s="1" t="s">
        <v>2</v>
      </c>
      <c r="D5" s="1" t="s">
        <v>17</v>
      </c>
    </row>
    <row r="6" spans="2:4" x14ac:dyDescent="0.3">
      <c r="C6" s="63" t="s">
        <v>3</v>
      </c>
      <c r="D6" s="61"/>
    </row>
    <row r="7" spans="2:4" x14ac:dyDescent="0.3">
      <c r="B7" s="2" t="s">
        <v>98</v>
      </c>
      <c r="C7" s="3" t="s">
        <v>99</v>
      </c>
      <c r="D7" s="4">
        <v>23431</v>
      </c>
    </row>
    <row r="8" spans="2:4" x14ac:dyDescent="0.3">
      <c r="B8" s="5" t="s">
        <v>100</v>
      </c>
      <c r="C8" s="6" t="s">
        <v>101</v>
      </c>
      <c r="D8" s="7">
        <v>23431</v>
      </c>
    </row>
    <row r="9" spans="2:4" x14ac:dyDescent="0.3">
      <c r="B9" s="2" t="s">
        <v>48</v>
      </c>
      <c r="C9" s="3" t="s">
        <v>102</v>
      </c>
      <c r="D9" s="4">
        <v>23431</v>
      </c>
    </row>
    <row r="10" spans="2:4" x14ac:dyDescent="0.3">
      <c r="B10" s="5" t="s">
        <v>50</v>
      </c>
      <c r="C10" s="6" t="s">
        <v>103</v>
      </c>
      <c r="D10" s="7">
        <v>23431</v>
      </c>
    </row>
    <row r="11" spans="2:4" x14ac:dyDescent="0.3">
      <c r="B11" s="2" t="s">
        <v>53</v>
      </c>
      <c r="C11" s="3" t="s">
        <v>104</v>
      </c>
      <c r="D11" s="4">
        <v>23431</v>
      </c>
    </row>
    <row r="12" spans="2:4" x14ac:dyDescent="0.3">
      <c r="B12" s="5" t="s">
        <v>55</v>
      </c>
      <c r="C12" s="6" t="s">
        <v>105</v>
      </c>
      <c r="D12" s="7">
        <v>19280.11</v>
      </c>
    </row>
    <row r="13" spans="2:4" x14ac:dyDescent="0.3">
      <c r="B13" s="2" t="s">
        <v>57</v>
      </c>
      <c r="C13" s="3" t="s">
        <v>106</v>
      </c>
      <c r="D13" s="4">
        <v>19280.11</v>
      </c>
    </row>
    <row r="14" spans="2:4" x14ac:dyDescent="0.3">
      <c r="B14" s="5" t="s">
        <v>61</v>
      </c>
      <c r="C14" s="6" t="s">
        <v>107</v>
      </c>
      <c r="D14" s="7">
        <v>19280.11</v>
      </c>
    </row>
    <row r="15" spans="2:4" x14ac:dyDescent="0.3">
      <c r="B15" s="2" t="s">
        <v>63</v>
      </c>
      <c r="C15" s="3" t="s">
        <v>108</v>
      </c>
      <c r="D15" s="4">
        <v>19280.11</v>
      </c>
    </row>
    <row r="16" spans="2:4" x14ac:dyDescent="0.3">
      <c r="B16" s="5" t="s">
        <v>65</v>
      </c>
      <c r="C16" s="6" t="s">
        <v>109</v>
      </c>
      <c r="D16" s="7">
        <v>19280.11</v>
      </c>
    </row>
    <row r="17" spans="2:4" x14ac:dyDescent="0.3">
      <c r="B17" s="2" t="s">
        <v>69</v>
      </c>
      <c r="C17" s="3" t="s">
        <v>110</v>
      </c>
      <c r="D17" s="4">
        <v>19280.11</v>
      </c>
    </row>
    <row r="18" spans="2:4" x14ac:dyDescent="0.3">
      <c r="B18" s="5" t="s">
        <v>71</v>
      </c>
      <c r="C18" s="6" t="s">
        <v>111</v>
      </c>
      <c r="D18" s="7">
        <v>19280.11</v>
      </c>
    </row>
    <row r="19" spans="2:4" x14ac:dyDescent="0.3">
      <c r="B19" s="2" t="s">
        <v>73</v>
      </c>
      <c r="C19" s="3" t="s">
        <v>112</v>
      </c>
      <c r="D19" s="4">
        <v>19280.11</v>
      </c>
    </row>
    <row r="20" spans="2:4" x14ac:dyDescent="0.3">
      <c r="B20" s="5" t="s">
        <v>77</v>
      </c>
      <c r="C20" s="6" t="s">
        <v>113</v>
      </c>
      <c r="D20" s="7">
        <v>19280.11</v>
      </c>
    </row>
    <row r="21" spans="2:4" x14ac:dyDescent="0.3">
      <c r="B21" s="2" t="s">
        <v>79</v>
      </c>
      <c r="C21" s="3" t="s">
        <v>114</v>
      </c>
      <c r="D21" s="4">
        <v>19280.11</v>
      </c>
    </row>
    <row r="22" spans="2:4" x14ac:dyDescent="0.3">
      <c r="B22" s="5" t="s">
        <v>115</v>
      </c>
      <c r="C22" s="6" t="s">
        <v>116</v>
      </c>
      <c r="D22" s="7">
        <v>19280.11</v>
      </c>
    </row>
    <row r="23" spans="2:4" x14ac:dyDescent="0.3">
      <c r="B23" s="2" t="s">
        <v>85</v>
      </c>
      <c r="C23" s="3" t="s">
        <v>117</v>
      </c>
      <c r="D23" s="4">
        <v>19280.11</v>
      </c>
    </row>
    <row r="24" spans="2:4" x14ac:dyDescent="0.3">
      <c r="B24" s="5" t="s">
        <v>118</v>
      </c>
      <c r="C24" s="16" t="s">
        <v>119</v>
      </c>
      <c r="D24" s="17">
        <v>-66912.850000000006</v>
      </c>
    </row>
    <row r="25" spans="2:4" x14ac:dyDescent="0.3">
      <c r="B25" s="2" t="s">
        <v>87</v>
      </c>
      <c r="C25" s="3" t="s">
        <v>120</v>
      </c>
      <c r="D25" s="4">
        <v>19280.11</v>
      </c>
    </row>
    <row r="26" spans="2:4" x14ac:dyDescent="0.3">
      <c r="B26" s="5" t="s">
        <v>89</v>
      </c>
      <c r="C26" s="6" t="s">
        <v>121</v>
      </c>
      <c r="D26" s="7">
        <v>19280.11</v>
      </c>
    </row>
    <row r="27" spans="2:4" x14ac:dyDescent="0.3">
      <c r="B27" s="2" t="s">
        <v>93</v>
      </c>
      <c r="C27" s="3" t="s">
        <v>122</v>
      </c>
      <c r="D27" s="4">
        <v>19280.11</v>
      </c>
    </row>
    <row r="28" spans="2:4" ht="15" thickBot="1" x14ac:dyDescent="0.35"/>
    <row r="29" spans="2:4" x14ac:dyDescent="0.3">
      <c r="B29" s="89" t="s">
        <v>34</v>
      </c>
      <c r="C29" s="90"/>
      <c r="D29" s="91">
        <f>SUM(D7:D27)</f>
        <v>339443.79999999981</v>
      </c>
    </row>
    <row r="30" spans="2:4" x14ac:dyDescent="0.3">
      <c r="B30" s="82" t="s">
        <v>35</v>
      </c>
      <c r="C30" s="92"/>
      <c r="D30" s="88">
        <f>VLOOKUP(B1,'Trial Balance'!$A:$F,6,0)</f>
        <v>339443.8</v>
      </c>
    </row>
    <row r="31" spans="2:4" x14ac:dyDescent="0.3">
      <c r="B31" s="86" t="s">
        <v>36</v>
      </c>
      <c r="C31" s="87"/>
      <c r="D31" s="97">
        <f>D29-D30</f>
        <v>0</v>
      </c>
    </row>
  </sheetData>
  <mergeCells count="7">
    <mergeCell ref="B1:C1"/>
    <mergeCell ref="B2:C2"/>
    <mergeCell ref="B3:C3"/>
    <mergeCell ref="B29:C29"/>
    <mergeCell ref="B30:C30"/>
    <mergeCell ref="B31:C31"/>
    <mergeCell ref="C6:D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B1:D22"/>
  <sheetViews>
    <sheetView workbookViewId="0"/>
  </sheetViews>
  <sheetFormatPr defaultRowHeight="14.4" x14ac:dyDescent="0.3"/>
  <cols>
    <col min="1" max="1" width="2" customWidth="1"/>
    <col min="2" max="2" width="14" customWidth="1"/>
    <col min="3" max="3" width="52" customWidth="1"/>
    <col min="4" max="4" width="18" customWidth="1"/>
  </cols>
  <sheetData>
    <row r="1" spans="2:4" ht="18" x14ac:dyDescent="0.35">
      <c r="B1" s="95" t="s">
        <v>529</v>
      </c>
      <c r="C1" s="95"/>
      <c r="D1" s="94"/>
    </row>
    <row r="2" spans="2:4" ht="18" x14ac:dyDescent="0.35">
      <c r="B2" s="95" t="s">
        <v>669</v>
      </c>
      <c r="C2" s="95"/>
      <c r="D2" s="94"/>
    </row>
    <row r="3" spans="2:4" x14ac:dyDescent="0.3">
      <c r="B3" s="96" t="s">
        <v>0</v>
      </c>
      <c r="C3" s="96"/>
      <c r="D3" s="94"/>
    </row>
    <row r="5" spans="2:4" ht="18" customHeight="1" x14ac:dyDescent="0.3">
      <c r="B5" s="1" t="s">
        <v>1</v>
      </c>
      <c r="C5" s="1" t="s">
        <v>2</v>
      </c>
      <c r="D5" s="1" t="s">
        <v>17</v>
      </c>
    </row>
    <row r="6" spans="2:4" x14ac:dyDescent="0.3">
      <c r="C6" s="63" t="s">
        <v>3</v>
      </c>
      <c r="D6" s="61"/>
    </row>
    <row r="7" spans="2:4" x14ac:dyDescent="0.3">
      <c r="B7" s="2" t="s">
        <v>123</v>
      </c>
      <c r="C7" s="3" t="s">
        <v>124</v>
      </c>
      <c r="D7" s="4">
        <v>4733004.3600000003</v>
      </c>
    </row>
    <row r="8" spans="2:4" x14ac:dyDescent="0.3">
      <c r="B8" s="5" t="s">
        <v>123</v>
      </c>
      <c r="C8" s="6" t="s">
        <v>125</v>
      </c>
      <c r="D8" s="7">
        <v>350.08</v>
      </c>
    </row>
    <row r="9" spans="2:4" x14ac:dyDescent="0.3">
      <c r="B9" s="2" t="s">
        <v>126</v>
      </c>
      <c r="C9" s="3" t="s">
        <v>127</v>
      </c>
      <c r="D9" s="4">
        <v>265.48</v>
      </c>
    </row>
    <row r="10" spans="2:4" x14ac:dyDescent="0.3">
      <c r="B10" s="5" t="s">
        <v>128</v>
      </c>
      <c r="C10" s="6" t="s">
        <v>129</v>
      </c>
      <c r="D10" s="7">
        <v>256.43</v>
      </c>
    </row>
    <row r="11" spans="2:4" x14ac:dyDescent="0.3">
      <c r="B11" s="2" t="s">
        <v>130</v>
      </c>
      <c r="C11" s="3" t="s">
        <v>131</v>
      </c>
      <c r="D11" s="4">
        <v>238.29</v>
      </c>
    </row>
    <row r="12" spans="2:4" x14ac:dyDescent="0.3">
      <c r="B12" s="5" t="s">
        <v>132</v>
      </c>
      <c r="C12" s="6" t="s">
        <v>133</v>
      </c>
      <c r="D12" s="7">
        <v>274.62</v>
      </c>
    </row>
    <row r="13" spans="2:4" x14ac:dyDescent="0.3">
      <c r="B13" s="2" t="s">
        <v>134</v>
      </c>
      <c r="C13" s="3" t="s">
        <v>135</v>
      </c>
      <c r="D13" s="4">
        <v>238.31</v>
      </c>
    </row>
    <row r="14" spans="2:4" x14ac:dyDescent="0.3">
      <c r="B14" s="5" t="s">
        <v>136</v>
      </c>
      <c r="C14" s="6" t="s">
        <v>137</v>
      </c>
      <c r="D14" s="7">
        <v>256.49</v>
      </c>
    </row>
    <row r="15" spans="2:4" x14ac:dyDescent="0.3">
      <c r="B15" s="2" t="s">
        <v>138</v>
      </c>
      <c r="C15" s="3" t="s">
        <v>139</v>
      </c>
      <c r="D15" s="4">
        <v>256.5</v>
      </c>
    </row>
    <row r="16" spans="2:4" x14ac:dyDescent="0.3">
      <c r="B16" s="5" t="s">
        <v>140</v>
      </c>
      <c r="C16" s="6" t="s">
        <v>141</v>
      </c>
      <c r="D16" s="7">
        <v>220.19</v>
      </c>
    </row>
    <row r="17" spans="2:4" x14ac:dyDescent="0.3">
      <c r="B17" s="2" t="s">
        <v>142</v>
      </c>
      <c r="C17" s="3" t="s">
        <v>143</v>
      </c>
      <c r="D17" s="4">
        <v>283.77999999999997</v>
      </c>
    </row>
    <row r="18" spans="2:4" x14ac:dyDescent="0.3">
      <c r="B18" s="5" t="s">
        <v>144</v>
      </c>
      <c r="C18" s="6" t="s">
        <v>145</v>
      </c>
      <c r="D18" s="7">
        <v>247.46</v>
      </c>
    </row>
    <row r="19" spans="2:4" ht="15" thickBot="1" x14ac:dyDescent="0.35">
      <c r="D19" s="80"/>
    </row>
    <row r="20" spans="2:4" x14ac:dyDescent="0.3">
      <c r="B20" s="89" t="s">
        <v>34</v>
      </c>
      <c r="C20" s="90"/>
      <c r="D20" s="91">
        <f>SUM(D7:D18)</f>
        <v>4735891.9900000012</v>
      </c>
    </row>
    <row r="21" spans="2:4" x14ac:dyDescent="0.3">
      <c r="B21" s="82" t="s">
        <v>35</v>
      </c>
      <c r="C21" s="92"/>
      <c r="D21" s="88">
        <f>VLOOKUP(B1,'Trial Balance'!$A:$F,6,0)</f>
        <v>4735891.99</v>
      </c>
    </row>
    <row r="22" spans="2:4" x14ac:dyDescent="0.3">
      <c r="B22" s="86" t="s">
        <v>36</v>
      </c>
      <c r="C22" s="87"/>
      <c r="D22" s="97">
        <f>D20-D21</f>
        <v>0</v>
      </c>
    </row>
  </sheetData>
  <mergeCells count="7">
    <mergeCell ref="B20:C20"/>
    <mergeCell ref="B21:C21"/>
    <mergeCell ref="B22:C22"/>
    <mergeCell ref="B2:C2"/>
    <mergeCell ref="B1:C1"/>
    <mergeCell ref="B3:C3"/>
    <mergeCell ref="C6:D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A1:O36"/>
  <sheetViews>
    <sheetView workbookViewId="0">
      <selection sqref="A1:O1"/>
    </sheetView>
  </sheetViews>
  <sheetFormatPr defaultRowHeight="14.4" x14ac:dyDescent="0.3"/>
  <cols>
    <col min="1" max="1" width="10.109375" bestFit="1" customWidth="1"/>
    <col min="2" max="2" width="8.5546875" bestFit="1" customWidth="1"/>
    <col min="3" max="3" width="20.77734375" bestFit="1" customWidth="1"/>
    <col min="4" max="4" width="6.109375" bestFit="1" customWidth="1"/>
    <col min="5" max="5" width="5.77734375" bestFit="1" customWidth="1"/>
    <col min="6" max="6" width="6.5546875" bestFit="1" customWidth="1"/>
    <col min="7" max="7" width="7.88671875" bestFit="1" customWidth="1"/>
    <col min="8" max="8" width="6.5546875" bestFit="1" customWidth="1"/>
    <col min="9" max="10" width="8.5546875" bestFit="1" customWidth="1"/>
    <col min="11" max="12" width="5.5546875" bestFit="1" customWidth="1"/>
    <col min="13" max="13" width="7.6640625" bestFit="1" customWidth="1"/>
    <col min="14" max="14" width="10.21875" bestFit="1" customWidth="1"/>
    <col min="15" max="15" width="10.21875" customWidth="1"/>
  </cols>
  <sheetData>
    <row r="1" spans="1:15" ht="15" x14ac:dyDescent="0.3">
      <c r="A1" s="70" t="s">
        <v>167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</row>
    <row r="2" spans="1:15" x14ac:dyDescent="0.3">
      <c r="A2" s="66" t="s">
        <v>168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</row>
    <row r="3" spans="1:15" x14ac:dyDescent="0.3">
      <c r="A3" s="18" t="s">
        <v>169</v>
      </c>
      <c r="B3" s="18" t="s">
        <v>170</v>
      </c>
      <c r="C3" s="18" t="s">
        <v>171</v>
      </c>
      <c r="D3" s="18" t="s">
        <v>172</v>
      </c>
      <c r="E3" s="18" t="s">
        <v>173</v>
      </c>
      <c r="F3" s="18" t="s">
        <v>146</v>
      </c>
      <c r="G3" s="18" t="s">
        <v>1</v>
      </c>
      <c r="H3" s="18" t="s">
        <v>174</v>
      </c>
      <c r="I3" s="19" t="s">
        <v>148</v>
      </c>
      <c r="J3" s="19" t="s">
        <v>149</v>
      </c>
      <c r="K3" s="19" t="s">
        <v>150</v>
      </c>
      <c r="L3" s="19" t="s">
        <v>151</v>
      </c>
      <c r="M3" s="19" t="s">
        <v>175</v>
      </c>
      <c r="N3" s="19" t="s">
        <v>176</v>
      </c>
      <c r="O3" s="19" t="s">
        <v>152</v>
      </c>
    </row>
    <row r="4" spans="1:15" x14ac:dyDescent="0.3">
      <c r="A4" s="20"/>
      <c r="B4" s="20"/>
      <c r="C4" s="20"/>
      <c r="D4" s="20"/>
      <c r="E4" s="20"/>
      <c r="F4" s="20" t="s">
        <v>177</v>
      </c>
      <c r="G4" s="20"/>
      <c r="H4" s="20"/>
      <c r="I4" s="21" t="s">
        <v>178</v>
      </c>
      <c r="J4" s="21" t="s">
        <v>178</v>
      </c>
      <c r="K4" s="21" t="s">
        <v>178</v>
      </c>
      <c r="L4" s="21" t="s">
        <v>178</v>
      </c>
      <c r="M4" s="21" t="s">
        <v>179</v>
      </c>
      <c r="N4" s="21" t="s">
        <v>180</v>
      </c>
      <c r="O4" s="21" t="s">
        <v>178</v>
      </c>
    </row>
    <row r="5" spans="1:15" ht="18" customHeight="1" x14ac:dyDescent="0.3">
      <c r="A5" s="71" t="s">
        <v>181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</row>
    <row r="6" spans="1:15" x14ac:dyDescent="0.3">
      <c r="A6" s="65" t="s">
        <v>182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</row>
    <row r="7" spans="1:15" ht="14.4" customHeight="1" x14ac:dyDescent="0.3">
      <c r="A7" s="22" t="s">
        <v>183</v>
      </c>
      <c r="B7" s="22"/>
      <c r="C7" s="22" t="s">
        <v>41</v>
      </c>
      <c r="D7" s="22" t="s">
        <v>148</v>
      </c>
      <c r="E7" s="22" t="s">
        <v>154</v>
      </c>
      <c r="F7" s="22" t="s">
        <v>153</v>
      </c>
      <c r="G7" s="23">
        <v>46045</v>
      </c>
      <c r="H7" s="22" t="s">
        <v>184</v>
      </c>
      <c r="I7" s="24">
        <v>3325.87</v>
      </c>
      <c r="J7" s="24">
        <v>3325.87</v>
      </c>
      <c r="K7" s="24">
        <v>0</v>
      </c>
      <c r="L7" s="24">
        <v>0</v>
      </c>
      <c r="M7" s="24">
        <v>0</v>
      </c>
      <c r="N7" s="24">
        <v>0</v>
      </c>
      <c r="O7" s="24">
        <v>3325.87</v>
      </c>
    </row>
    <row r="8" spans="1:15" ht="14.4" customHeight="1" x14ac:dyDescent="0.3">
      <c r="A8" s="22" t="s">
        <v>183</v>
      </c>
      <c r="B8" s="22"/>
      <c r="C8" s="22" t="s">
        <v>41</v>
      </c>
      <c r="D8" s="22" t="s">
        <v>148</v>
      </c>
      <c r="E8" s="22" t="s">
        <v>155</v>
      </c>
      <c r="F8" s="22" t="s">
        <v>153</v>
      </c>
      <c r="G8" s="23">
        <v>46045</v>
      </c>
      <c r="H8" s="22" t="s">
        <v>184</v>
      </c>
      <c r="I8" s="24">
        <v>1771.69</v>
      </c>
      <c r="J8" s="24">
        <v>1771.69</v>
      </c>
      <c r="K8" s="24">
        <v>0</v>
      </c>
      <c r="L8" s="24">
        <v>0</v>
      </c>
      <c r="M8" s="24">
        <v>0</v>
      </c>
      <c r="N8" s="24">
        <v>0</v>
      </c>
      <c r="O8" s="24">
        <v>1771.69</v>
      </c>
    </row>
    <row r="9" spans="1:15" ht="14.4" customHeight="1" x14ac:dyDescent="0.3">
      <c r="A9" s="25" t="s">
        <v>183</v>
      </c>
      <c r="B9" s="25"/>
      <c r="C9" s="25" t="s">
        <v>41</v>
      </c>
      <c r="D9" s="25" t="s">
        <v>148</v>
      </c>
      <c r="E9" s="25" t="s">
        <v>157</v>
      </c>
      <c r="F9" s="25" t="s">
        <v>156</v>
      </c>
      <c r="G9" s="26">
        <v>46045</v>
      </c>
      <c r="H9" s="25" t="s">
        <v>184</v>
      </c>
      <c r="I9" s="27">
        <v>11.07</v>
      </c>
      <c r="J9" s="27">
        <v>11.07</v>
      </c>
      <c r="K9" s="27">
        <v>0</v>
      </c>
      <c r="L9" s="27">
        <v>0</v>
      </c>
      <c r="M9" s="27">
        <v>0</v>
      </c>
      <c r="N9" s="27">
        <v>0</v>
      </c>
      <c r="O9" s="27">
        <v>11.07</v>
      </c>
    </row>
    <row r="10" spans="1:15" ht="14.4" customHeight="1" x14ac:dyDescent="0.3">
      <c r="A10" s="28"/>
      <c r="B10" s="28"/>
      <c r="C10" s="29" t="s">
        <v>41</v>
      </c>
      <c r="D10" s="28"/>
      <c r="E10" s="28"/>
      <c r="F10" s="28"/>
      <c r="G10" s="28"/>
      <c r="H10" s="28"/>
      <c r="I10" s="30">
        <v>5108.63</v>
      </c>
      <c r="J10" s="30">
        <v>5108.63</v>
      </c>
      <c r="K10" s="30">
        <v>0</v>
      </c>
      <c r="L10" s="30">
        <v>0</v>
      </c>
      <c r="M10" s="30">
        <v>0</v>
      </c>
      <c r="N10" s="30">
        <v>0</v>
      </c>
      <c r="O10" s="30">
        <v>5108.63</v>
      </c>
    </row>
    <row r="11" spans="1:15" ht="14.4" customHeight="1" x14ac:dyDescent="0.3">
      <c r="A11" s="64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</row>
    <row r="12" spans="1:15" ht="14.4" customHeight="1" x14ac:dyDescent="0.3">
      <c r="A12" s="65" t="s">
        <v>185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</row>
    <row r="13" spans="1:15" ht="14.4" customHeight="1" x14ac:dyDescent="0.3">
      <c r="A13" s="22" t="s">
        <v>183</v>
      </c>
      <c r="B13" s="22"/>
      <c r="C13" s="22" t="s">
        <v>39</v>
      </c>
      <c r="D13" s="22" t="s">
        <v>148</v>
      </c>
      <c r="E13" s="22" t="s">
        <v>158</v>
      </c>
      <c r="F13" s="22" t="s">
        <v>153</v>
      </c>
      <c r="G13" s="23">
        <v>46045</v>
      </c>
      <c r="H13" s="22" t="s">
        <v>184</v>
      </c>
      <c r="I13" s="24">
        <v>1298.1300000000001</v>
      </c>
      <c r="J13" s="24">
        <v>1298.1300000000001</v>
      </c>
      <c r="K13" s="24">
        <v>0</v>
      </c>
      <c r="L13" s="24">
        <v>0</v>
      </c>
      <c r="M13" s="24">
        <v>0</v>
      </c>
      <c r="N13" s="24">
        <v>0</v>
      </c>
      <c r="O13" s="24">
        <v>1298.1300000000001</v>
      </c>
    </row>
    <row r="14" spans="1:15" ht="14.4" customHeight="1" x14ac:dyDescent="0.3">
      <c r="A14" s="22" t="s">
        <v>183</v>
      </c>
      <c r="B14" s="22"/>
      <c r="C14" s="22" t="s">
        <v>39</v>
      </c>
      <c r="D14" s="22" t="s">
        <v>148</v>
      </c>
      <c r="E14" s="22" t="s">
        <v>159</v>
      </c>
      <c r="F14" s="22" t="s">
        <v>153</v>
      </c>
      <c r="G14" s="23">
        <v>46045</v>
      </c>
      <c r="H14" s="22" t="s">
        <v>184</v>
      </c>
      <c r="I14" s="24">
        <v>6194.28</v>
      </c>
      <c r="J14" s="24">
        <v>6194.28</v>
      </c>
      <c r="K14" s="24">
        <v>0</v>
      </c>
      <c r="L14" s="24">
        <v>0</v>
      </c>
      <c r="M14" s="24">
        <v>0</v>
      </c>
      <c r="N14" s="24">
        <v>0</v>
      </c>
      <c r="O14" s="24">
        <v>6194.28</v>
      </c>
    </row>
    <row r="15" spans="1:15" ht="14.4" customHeight="1" x14ac:dyDescent="0.3">
      <c r="A15" s="22" t="s">
        <v>183</v>
      </c>
      <c r="B15" s="22"/>
      <c r="C15" s="22" t="s">
        <v>39</v>
      </c>
      <c r="D15" s="22" t="s">
        <v>148</v>
      </c>
      <c r="E15" s="22" t="s">
        <v>160</v>
      </c>
      <c r="F15" s="22" t="s">
        <v>156</v>
      </c>
      <c r="G15" s="23">
        <v>46045</v>
      </c>
      <c r="H15" s="22" t="s">
        <v>184</v>
      </c>
      <c r="I15" s="24">
        <v>43.57</v>
      </c>
      <c r="J15" s="24">
        <v>43.57</v>
      </c>
      <c r="K15" s="24">
        <v>0</v>
      </c>
      <c r="L15" s="24">
        <v>0</v>
      </c>
      <c r="M15" s="24">
        <v>0</v>
      </c>
      <c r="N15" s="24">
        <v>0</v>
      </c>
      <c r="O15" s="24">
        <v>43.57</v>
      </c>
    </row>
    <row r="16" spans="1:15" ht="14.4" customHeight="1" x14ac:dyDescent="0.3">
      <c r="A16" s="25" t="s">
        <v>183</v>
      </c>
      <c r="B16" s="25"/>
      <c r="C16" s="25" t="s">
        <v>39</v>
      </c>
      <c r="D16" s="25" t="s">
        <v>148</v>
      </c>
      <c r="E16" s="25" t="s">
        <v>161</v>
      </c>
      <c r="F16" s="25" t="s">
        <v>156</v>
      </c>
      <c r="G16" s="26">
        <v>46045</v>
      </c>
      <c r="H16" s="25" t="s">
        <v>184</v>
      </c>
      <c r="I16" s="27">
        <v>1581.94</v>
      </c>
      <c r="J16" s="27">
        <v>1581.94</v>
      </c>
      <c r="K16" s="27">
        <v>0</v>
      </c>
      <c r="L16" s="27">
        <v>0</v>
      </c>
      <c r="M16" s="27">
        <v>0</v>
      </c>
      <c r="N16" s="27">
        <v>0</v>
      </c>
      <c r="O16" s="27">
        <v>1581.94</v>
      </c>
    </row>
    <row r="17" spans="1:15" ht="14.4" customHeight="1" x14ac:dyDescent="0.3">
      <c r="A17" s="28"/>
      <c r="B17" s="28"/>
      <c r="C17" s="29" t="s">
        <v>39</v>
      </c>
      <c r="D17" s="28"/>
      <c r="E17" s="28"/>
      <c r="F17" s="28"/>
      <c r="G17" s="28"/>
      <c r="H17" s="28"/>
      <c r="I17" s="30">
        <v>9117.92</v>
      </c>
      <c r="J17" s="30">
        <v>9117.92</v>
      </c>
      <c r="K17" s="30">
        <v>0</v>
      </c>
      <c r="L17" s="30">
        <v>0</v>
      </c>
      <c r="M17" s="30">
        <v>0</v>
      </c>
      <c r="N17" s="30">
        <v>0</v>
      </c>
      <c r="O17" s="30">
        <v>9117.92</v>
      </c>
    </row>
    <row r="18" spans="1:15" ht="14.4" customHeight="1" x14ac:dyDescent="0.3">
      <c r="A18" s="64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</row>
    <row r="19" spans="1:15" ht="14.4" customHeight="1" x14ac:dyDescent="0.3">
      <c r="A19" s="65" t="s">
        <v>186</v>
      </c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</row>
    <row r="20" spans="1:15" ht="14.4" customHeight="1" x14ac:dyDescent="0.3">
      <c r="A20" s="22" t="s">
        <v>183</v>
      </c>
      <c r="B20" s="22"/>
      <c r="C20" s="22" t="s">
        <v>40</v>
      </c>
      <c r="D20" s="22" t="s">
        <v>148</v>
      </c>
      <c r="E20" s="22" t="s">
        <v>162</v>
      </c>
      <c r="F20" s="22" t="s">
        <v>153</v>
      </c>
      <c r="G20" s="23">
        <v>46045</v>
      </c>
      <c r="H20" s="22" t="s">
        <v>184</v>
      </c>
      <c r="I20" s="24">
        <v>51.77</v>
      </c>
      <c r="J20" s="24">
        <v>51.77</v>
      </c>
      <c r="K20" s="24">
        <v>0</v>
      </c>
      <c r="L20" s="24">
        <v>0</v>
      </c>
      <c r="M20" s="24">
        <v>0</v>
      </c>
      <c r="N20" s="24">
        <v>0</v>
      </c>
      <c r="O20" s="24">
        <v>51.77</v>
      </c>
    </row>
    <row r="21" spans="1:15" ht="14.4" customHeight="1" x14ac:dyDescent="0.3">
      <c r="A21" s="22" t="s">
        <v>183</v>
      </c>
      <c r="B21" s="22"/>
      <c r="C21" s="22" t="s">
        <v>40</v>
      </c>
      <c r="D21" s="22" t="s">
        <v>148</v>
      </c>
      <c r="E21" s="22" t="s">
        <v>163</v>
      </c>
      <c r="F21" s="22" t="s">
        <v>153</v>
      </c>
      <c r="G21" s="23">
        <v>46045</v>
      </c>
      <c r="H21" s="22" t="s">
        <v>184</v>
      </c>
      <c r="I21" s="24">
        <v>652.03</v>
      </c>
      <c r="J21" s="24">
        <v>652.03</v>
      </c>
      <c r="K21" s="24">
        <v>0</v>
      </c>
      <c r="L21" s="24">
        <v>0</v>
      </c>
      <c r="M21" s="24">
        <v>0</v>
      </c>
      <c r="N21" s="24">
        <v>0</v>
      </c>
      <c r="O21" s="24">
        <v>652.03</v>
      </c>
    </row>
    <row r="22" spans="1:15" ht="14.4" customHeight="1" x14ac:dyDescent="0.3">
      <c r="A22" s="25" t="s">
        <v>183</v>
      </c>
      <c r="B22" s="25"/>
      <c r="C22" s="25" t="s">
        <v>40</v>
      </c>
      <c r="D22" s="25" t="s">
        <v>148</v>
      </c>
      <c r="E22" s="25" t="s">
        <v>164</v>
      </c>
      <c r="F22" s="25" t="s">
        <v>156</v>
      </c>
      <c r="G22" s="26">
        <v>46045</v>
      </c>
      <c r="H22" s="25" t="s">
        <v>184</v>
      </c>
      <c r="I22" s="27">
        <v>35.01</v>
      </c>
      <c r="J22" s="27">
        <v>35.01</v>
      </c>
      <c r="K22" s="27">
        <v>0</v>
      </c>
      <c r="L22" s="27">
        <v>0</v>
      </c>
      <c r="M22" s="27">
        <v>0</v>
      </c>
      <c r="N22" s="27">
        <v>0</v>
      </c>
      <c r="O22" s="27">
        <v>35.01</v>
      </c>
    </row>
    <row r="23" spans="1:15" ht="14.4" customHeight="1" x14ac:dyDescent="0.3">
      <c r="A23" s="28"/>
      <c r="B23" s="28"/>
      <c r="C23" s="29" t="s">
        <v>40</v>
      </c>
      <c r="D23" s="28"/>
      <c r="E23" s="28"/>
      <c r="F23" s="28"/>
      <c r="G23" s="28"/>
      <c r="H23" s="28"/>
      <c r="I23" s="30">
        <v>738.81</v>
      </c>
      <c r="J23" s="30">
        <v>738.81</v>
      </c>
      <c r="K23" s="30">
        <v>0</v>
      </c>
      <c r="L23" s="30">
        <v>0</v>
      </c>
      <c r="M23" s="30">
        <v>0</v>
      </c>
      <c r="N23" s="30">
        <v>0</v>
      </c>
      <c r="O23" s="30">
        <v>738.81</v>
      </c>
    </row>
    <row r="24" spans="1:15" ht="14.4" customHeight="1" x14ac:dyDescent="0.3">
      <c r="A24" s="64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</row>
    <row r="25" spans="1:15" ht="14.4" customHeight="1" x14ac:dyDescent="0.3">
      <c r="A25" s="65" t="s">
        <v>187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</row>
    <row r="26" spans="1:15" ht="14.4" customHeight="1" x14ac:dyDescent="0.3">
      <c r="A26" s="22" t="s">
        <v>183</v>
      </c>
      <c r="B26" s="22"/>
      <c r="C26" s="22" t="s">
        <v>42</v>
      </c>
      <c r="D26" s="22" t="s">
        <v>148</v>
      </c>
      <c r="E26" s="22" t="s">
        <v>188</v>
      </c>
      <c r="F26" s="22" t="s">
        <v>189</v>
      </c>
      <c r="G26" s="23">
        <v>46029</v>
      </c>
      <c r="H26" s="22" t="s">
        <v>184</v>
      </c>
      <c r="I26" s="24">
        <v>0</v>
      </c>
      <c r="J26" s="24">
        <v>0</v>
      </c>
      <c r="K26" s="24">
        <v>0</v>
      </c>
      <c r="L26" s="24">
        <v>0</v>
      </c>
      <c r="M26" s="24">
        <v>0</v>
      </c>
      <c r="N26" s="24">
        <v>-1273.83</v>
      </c>
      <c r="O26" s="24">
        <v>-1273.83</v>
      </c>
    </row>
    <row r="27" spans="1:15" ht="14.4" customHeight="1" x14ac:dyDescent="0.3">
      <c r="A27" s="22" t="s">
        <v>183</v>
      </c>
      <c r="B27" s="22"/>
      <c r="C27" s="22" t="s">
        <v>42</v>
      </c>
      <c r="D27" s="22" t="s">
        <v>148</v>
      </c>
      <c r="E27" s="22" t="s">
        <v>188</v>
      </c>
      <c r="F27" s="22" t="s">
        <v>189</v>
      </c>
      <c r="G27" s="23">
        <v>46029</v>
      </c>
      <c r="H27" s="22" t="s">
        <v>184</v>
      </c>
      <c r="I27" s="24">
        <v>0</v>
      </c>
      <c r="J27" s="24">
        <v>0</v>
      </c>
      <c r="K27" s="24">
        <v>0</v>
      </c>
      <c r="L27" s="24">
        <v>0</v>
      </c>
      <c r="M27" s="24">
        <v>0</v>
      </c>
      <c r="N27" s="24">
        <v>-292888.88</v>
      </c>
      <c r="O27" s="24">
        <v>-292888.88</v>
      </c>
    </row>
    <row r="28" spans="1:15" ht="14.4" customHeight="1" x14ac:dyDescent="0.3">
      <c r="A28" s="22" t="s">
        <v>183</v>
      </c>
      <c r="B28" s="22"/>
      <c r="C28" s="22" t="s">
        <v>42</v>
      </c>
      <c r="D28" s="22" t="s">
        <v>148</v>
      </c>
      <c r="E28" s="22" t="s">
        <v>165</v>
      </c>
      <c r="F28" s="22" t="s">
        <v>153</v>
      </c>
      <c r="G28" s="23">
        <v>46045</v>
      </c>
      <c r="H28" s="22" t="s">
        <v>184</v>
      </c>
      <c r="I28" s="24">
        <v>2060.41</v>
      </c>
      <c r="J28" s="24">
        <v>2060.41</v>
      </c>
      <c r="K28" s="24">
        <v>0</v>
      </c>
      <c r="L28" s="24">
        <v>0</v>
      </c>
      <c r="M28" s="24">
        <v>0</v>
      </c>
      <c r="N28" s="24">
        <v>0</v>
      </c>
      <c r="O28" s="24">
        <v>2060.41</v>
      </c>
    </row>
    <row r="29" spans="1:15" ht="14.4" customHeight="1" x14ac:dyDescent="0.3">
      <c r="A29" s="25" t="s">
        <v>183</v>
      </c>
      <c r="B29" s="25"/>
      <c r="C29" s="25" t="s">
        <v>42</v>
      </c>
      <c r="D29" s="25" t="s">
        <v>148</v>
      </c>
      <c r="E29" s="25" t="s">
        <v>166</v>
      </c>
      <c r="F29" s="25" t="s">
        <v>156</v>
      </c>
      <c r="G29" s="26">
        <v>46045</v>
      </c>
      <c r="H29" s="25" t="s">
        <v>184</v>
      </c>
      <c r="I29" s="27">
        <v>65.36</v>
      </c>
      <c r="J29" s="27">
        <v>65.36</v>
      </c>
      <c r="K29" s="27">
        <v>0</v>
      </c>
      <c r="L29" s="27">
        <v>0</v>
      </c>
      <c r="M29" s="27">
        <v>0</v>
      </c>
      <c r="N29" s="27">
        <v>0</v>
      </c>
      <c r="O29" s="27">
        <v>65.36</v>
      </c>
    </row>
    <row r="30" spans="1:15" ht="14.4" customHeight="1" x14ac:dyDescent="0.3">
      <c r="A30" s="28"/>
      <c r="B30" s="28"/>
      <c r="C30" s="29" t="s">
        <v>42</v>
      </c>
      <c r="D30" s="28"/>
      <c r="E30" s="28"/>
      <c r="F30" s="28"/>
      <c r="G30" s="28"/>
      <c r="H30" s="28"/>
      <c r="I30" s="30">
        <v>2125.77</v>
      </c>
      <c r="J30" s="30">
        <v>2125.77</v>
      </c>
      <c r="K30" s="30">
        <v>0</v>
      </c>
      <c r="L30" s="30">
        <v>0</v>
      </c>
      <c r="M30" s="30">
        <v>0</v>
      </c>
      <c r="N30" s="30">
        <v>-294162.71000000002</v>
      </c>
      <c r="O30" s="30">
        <v>-292036.94</v>
      </c>
    </row>
    <row r="31" spans="1:15" ht="14.4" customHeight="1" x14ac:dyDescent="0.3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</row>
    <row r="32" spans="1:15" ht="14.4" customHeight="1" x14ac:dyDescent="0.3">
      <c r="A32" s="29" t="s">
        <v>183</v>
      </c>
      <c r="B32" s="28"/>
      <c r="C32" s="28"/>
      <c r="D32" s="28"/>
      <c r="E32" s="28"/>
      <c r="F32" s="28"/>
      <c r="G32" s="28"/>
      <c r="H32" s="28"/>
      <c r="I32" s="30">
        <v>17091.13</v>
      </c>
      <c r="J32" s="30">
        <v>17091.13</v>
      </c>
      <c r="K32" s="30">
        <v>0</v>
      </c>
      <c r="L32" s="30">
        <v>0</v>
      </c>
      <c r="M32" s="30">
        <v>0</v>
      </c>
      <c r="N32" s="30">
        <v>-294162.71000000002</v>
      </c>
      <c r="O32" s="30">
        <v>-277071.58</v>
      </c>
    </row>
    <row r="33" spans="1:15" ht="14.4" customHeight="1" x14ac:dyDescent="0.3">
      <c r="A33" s="68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</row>
    <row r="34" spans="1:15" ht="14.4" customHeight="1" x14ac:dyDescent="0.3">
      <c r="A34" s="29" t="s">
        <v>190</v>
      </c>
      <c r="B34" s="28"/>
      <c r="C34" s="28"/>
      <c r="D34" s="28"/>
      <c r="E34" s="28"/>
      <c r="F34" s="28"/>
      <c r="G34" s="28"/>
      <c r="H34" s="28"/>
      <c r="I34" s="30">
        <v>17091.13</v>
      </c>
      <c r="J34" s="30">
        <v>17091.13</v>
      </c>
      <c r="K34" s="30">
        <v>0</v>
      </c>
      <c r="L34" s="30">
        <v>0</v>
      </c>
      <c r="M34" s="30">
        <v>0</v>
      </c>
      <c r="N34" s="30">
        <v>-294162.71000000002</v>
      </c>
      <c r="O34" s="30">
        <v>-277071.58</v>
      </c>
    </row>
    <row r="35" spans="1:15" ht="14.4" customHeight="1" x14ac:dyDescent="0.3">
      <c r="A35" s="64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</row>
    <row r="36" spans="1:15" ht="14.4" customHeight="1" x14ac:dyDescent="0.3">
      <c r="A36" s="67" t="s">
        <v>191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</row>
  </sheetData>
  <mergeCells count="14">
    <mergeCell ref="A36:O36"/>
    <mergeCell ref="A33:O33"/>
    <mergeCell ref="A19:O19"/>
    <mergeCell ref="A11:O11"/>
    <mergeCell ref="A1:O1"/>
    <mergeCell ref="A5:O5"/>
    <mergeCell ref="A31:O31"/>
    <mergeCell ref="A6:O6"/>
    <mergeCell ref="A18:O18"/>
    <mergeCell ref="A35:O35"/>
    <mergeCell ref="A12:O12"/>
    <mergeCell ref="A25:O25"/>
    <mergeCell ref="A24:O24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B1:E37"/>
  <sheetViews>
    <sheetView workbookViewId="0"/>
  </sheetViews>
  <sheetFormatPr defaultRowHeight="14.4" x14ac:dyDescent="0.3"/>
  <cols>
    <col min="1" max="1" width="2.21875" customWidth="1"/>
    <col min="2" max="2" width="9.109375" customWidth="1"/>
    <col min="3" max="4" width="39.44140625" customWidth="1"/>
    <col min="5" max="5" width="26.109375" customWidth="1"/>
    <col min="6" max="6" width="6.33203125" customWidth="1"/>
    <col min="7" max="7" width="7" customWidth="1"/>
    <col min="8" max="8" width="8.44140625" customWidth="1"/>
    <col min="9" max="9" width="7" customWidth="1"/>
    <col min="10" max="10" width="9.109375" customWidth="1"/>
    <col min="12" max="12" width="6" customWidth="1"/>
    <col min="14" max="14" width="8.109375" customWidth="1"/>
    <col min="15" max="15" width="10.88671875" customWidth="1"/>
  </cols>
  <sheetData>
    <row r="1" spans="2:5" ht="15.75" customHeight="1" x14ac:dyDescent="0.35">
      <c r="B1" s="95" t="s">
        <v>533</v>
      </c>
      <c r="C1" s="95"/>
      <c r="D1" s="98"/>
      <c r="E1" s="94"/>
    </row>
    <row r="2" spans="2:5" ht="15" customHeight="1" x14ac:dyDescent="0.35">
      <c r="B2" s="95" t="s">
        <v>669</v>
      </c>
      <c r="C2" s="95"/>
      <c r="D2" s="98"/>
      <c r="E2" s="94"/>
    </row>
    <row r="3" spans="2:5" ht="15" customHeight="1" x14ac:dyDescent="0.3">
      <c r="B3" s="96" t="s">
        <v>0</v>
      </c>
      <c r="C3" s="96"/>
      <c r="D3" s="138"/>
      <c r="E3" s="94"/>
    </row>
    <row r="4" spans="2:5" ht="15" customHeight="1" x14ac:dyDescent="0.3"/>
    <row r="5" spans="2:5" ht="15" customHeight="1" x14ac:dyDescent="0.3">
      <c r="B5" s="1" t="s">
        <v>1</v>
      </c>
      <c r="C5" s="1" t="s">
        <v>2</v>
      </c>
      <c r="D5" s="102" t="s">
        <v>192</v>
      </c>
      <c r="E5" s="1" t="s">
        <v>17</v>
      </c>
    </row>
    <row r="6" spans="2:5" ht="15" customHeight="1" x14ac:dyDescent="0.3"/>
    <row r="7" spans="2:5" ht="15" customHeight="1" thickBot="1" x14ac:dyDescent="0.35"/>
    <row r="8" spans="2:5" ht="15" customHeight="1" x14ac:dyDescent="0.3">
      <c r="B8" s="89" t="s">
        <v>34</v>
      </c>
      <c r="C8" s="90"/>
      <c r="D8" s="107"/>
      <c r="E8" s="91">
        <f>SUM(E6:E7)</f>
        <v>0</v>
      </c>
    </row>
    <row r="9" spans="2:5" ht="15" customHeight="1" x14ac:dyDescent="0.3">
      <c r="B9" s="82" t="s">
        <v>35</v>
      </c>
      <c r="C9" s="92"/>
      <c r="D9" s="84"/>
      <c r="E9" s="88">
        <f>VLOOKUP(B1,'Trial Balance'!$A:$F,6,0)</f>
        <v>0</v>
      </c>
    </row>
    <row r="10" spans="2:5" ht="15" customHeight="1" x14ac:dyDescent="0.3">
      <c r="B10" s="86" t="s">
        <v>36</v>
      </c>
      <c r="C10" s="87"/>
      <c r="D10" s="108"/>
      <c r="E10" s="97">
        <f>E8-E9</f>
        <v>0</v>
      </c>
    </row>
    <row r="11" spans="2:5" ht="15" customHeight="1" x14ac:dyDescent="0.3"/>
    <row r="12" spans="2:5" ht="15" customHeight="1" x14ac:dyDescent="0.3"/>
    <row r="13" spans="2:5" ht="15" customHeight="1" x14ac:dyDescent="0.3"/>
    <row r="14" spans="2:5" ht="15" customHeight="1" x14ac:dyDescent="0.3"/>
    <row r="15" spans="2:5" ht="15" customHeight="1" x14ac:dyDescent="0.3"/>
    <row r="16" spans="2:5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</sheetData>
  <mergeCells count="6">
    <mergeCell ref="B1:C1"/>
    <mergeCell ref="B2:C2"/>
    <mergeCell ref="B3:C3"/>
    <mergeCell ref="B8:C8"/>
    <mergeCell ref="B9:C9"/>
    <mergeCell ref="B10:C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0C0"/>
  </sheetPr>
  <dimension ref="B1:E17"/>
  <sheetViews>
    <sheetView workbookViewId="0"/>
  </sheetViews>
  <sheetFormatPr defaultRowHeight="14.4" x14ac:dyDescent="0.3"/>
  <cols>
    <col min="1" max="1" width="2" customWidth="1"/>
    <col min="2" max="2" width="14.33203125" customWidth="1"/>
    <col min="3" max="3" width="52" customWidth="1"/>
    <col min="4" max="4" width="14" customWidth="1"/>
    <col min="5" max="5" width="18" customWidth="1"/>
  </cols>
  <sheetData>
    <row r="1" spans="2:5" ht="18" x14ac:dyDescent="0.35">
      <c r="B1" s="95" t="s">
        <v>193</v>
      </c>
      <c r="C1" s="95"/>
      <c r="D1" s="95"/>
      <c r="E1" s="94"/>
    </row>
    <row r="2" spans="2:5" ht="18" x14ac:dyDescent="0.35">
      <c r="B2" s="95" t="s">
        <v>666</v>
      </c>
      <c r="C2" s="95"/>
      <c r="D2" s="95"/>
      <c r="E2" s="94"/>
    </row>
    <row r="3" spans="2:5" x14ac:dyDescent="0.3">
      <c r="B3" s="96" t="s">
        <v>0</v>
      </c>
      <c r="C3" s="96"/>
      <c r="D3" s="96"/>
      <c r="E3" s="94"/>
    </row>
    <row r="5" spans="2:5" ht="18" customHeight="1" x14ac:dyDescent="0.3">
      <c r="B5" s="116" t="s">
        <v>1</v>
      </c>
      <c r="C5" s="102" t="s">
        <v>2</v>
      </c>
      <c r="D5" s="102" t="s">
        <v>192</v>
      </c>
      <c r="E5" s="102" t="s">
        <v>17</v>
      </c>
    </row>
    <row r="6" spans="2:5" x14ac:dyDescent="0.3">
      <c r="B6" s="109"/>
      <c r="C6" s="109" t="s">
        <v>673</v>
      </c>
      <c r="D6" s="103">
        <v>440500</v>
      </c>
      <c r="E6" s="104">
        <v>5097.5600000000004</v>
      </c>
    </row>
    <row r="7" spans="2:5" x14ac:dyDescent="0.3">
      <c r="B7" s="6"/>
      <c r="C7" s="6"/>
      <c r="D7" s="105">
        <v>440500</v>
      </c>
      <c r="E7" s="106">
        <v>7492.41</v>
      </c>
    </row>
    <row r="8" spans="2:5" x14ac:dyDescent="0.3">
      <c r="B8" s="3"/>
      <c r="C8" s="3"/>
      <c r="D8" s="103">
        <v>440500</v>
      </c>
      <c r="E8" s="104">
        <v>703.8</v>
      </c>
    </row>
    <row r="9" spans="2:5" x14ac:dyDescent="0.3">
      <c r="B9" s="6"/>
      <c r="C9" s="6"/>
      <c r="D9" s="105">
        <v>440500</v>
      </c>
      <c r="E9" s="106">
        <v>2060.41</v>
      </c>
    </row>
    <row r="10" spans="2:5" x14ac:dyDescent="0.3">
      <c r="B10" s="109"/>
      <c r="C10" s="109" t="s">
        <v>674</v>
      </c>
      <c r="D10" s="103">
        <v>440700</v>
      </c>
      <c r="E10" s="104">
        <v>11.07</v>
      </c>
    </row>
    <row r="11" spans="2:5" x14ac:dyDescent="0.3">
      <c r="B11" s="6"/>
      <c r="C11" s="6"/>
      <c r="D11" s="105">
        <v>440700</v>
      </c>
      <c r="E11" s="106">
        <v>1625.51</v>
      </c>
    </row>
    <row r="12" spans="2:5" x14ac:dyDescent="0.3">
      <c r="B12" s="3"/>
      <c r="C12" s="3"/>
      <c r="D12" s="103">
        <v>440700</v>
      </c>
      <c r="E12" s="104">
        <v>35.01</v>
      </c>
    </row>
    <row r="13" spans="2:5" x14ac:dyDescent="0.3">
      <c r="B13" s="6"/>
      <c r="C13" s="6"/>
      <c r="D13" s="105">
        <v>440700</v>
      </c>
      <c r="E13" s="106">
        <v>65.36</v>
      </c>
    </row>
    <row r="14" spans="2:5" ht="15" thickBot="1" x14ac:dyDescent="0.35">
      <c r="B14" s="99"/>
      <c r="C14" s="99"/>
      <c r="D14" s="100"/>
      <c r="E14" s="101"/>
    </row>
    <row r="15" spans="2:5" x14ac:dyDescent="0.3">
      <c r="B15" s="89" t="s">
        <v>34</v>
      </c>
      <c r="C15" s="90"/>
      <c r="D15" s="90"/>
      <c r="E15" s="91">
        <f>SUM(E6:E13)</f>
        <v>17091.129999999997</v>
      </c>
    </row>
    <row r="16" spans="2:5" x14ac:dyDescent="0.3">
      <c r="B16" s="82" t="s">
        <v>35</v>
      </c>
      <c r="C16" s="83"/>
      <c r="D16" s="92"/>
      <c r="E16" s="88">
        <f>VLOOKUP(B1,'Trial Balance'!A:F,6,FALSE)</f>
        <v>17091.13</v>
      </c>
    </row>
    <row r="17" spans="2:5" x14ac:dyDescent="0.3">
      <c r="B17" s="86" t="s">
        <v>36</v>
      </c>
      <c r="C17" s="115"/>
      <c r="D17" s="87"/>
      <c r="E17" s="97">
        <f>E15-E16</f>
        <v>0</v>
      </c>
    </row>
  </sheetData>
  <mergeCells count="6">
    <mergeCell ref="B17:D17"/>
    <mergeCell ref="B16:D16"/>
    <mergeCell ref="B15:D15"/>
    <mergeCell ref="B1:D1"/>
    <mergeCell ref="B2:D2"/>
    <mergeCell ref="B3:D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70C0"/>
  </sheetPr>
  <dimension ref="B1:E11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outlineLevelRow="1" x14ac:dyDescent="0.3"/>
  <cols>
    <col min="1" max="1" width="3" customWidth="1"/>
    <col min="2" max="2" width="66.109375" bestFit="1" customWidth="1"/>
    <col min="3" max="3" width="12" customWidth="1"/>
    <col min="4" max="4" width="15.5546875" bestFit="1" customWidth="1"/>
    <col min="5" max="5" width="18" customWidth="1"/>
  </cols>
  <sheetData>
    <row r="1" spans="2:5" ht="18" x14ac:dyDescent="0.35">
      <c r="B1" s="98" t="s">
        <v>432</v>
      </c>
      <c r="C1" s="98"/>
      <c r="D1" s="98"/>
      <c r="E1" s="98"/>
    </row>
    <row r="2" spans="2:5" ht="18" x14ac:dyDescent="0.35">
      <c r="B2" s="98" t="s">
        <v>704</v>
      </c>
      <c r="C2" s="98"/>
      <c r="D2" s="98"/>
      <c r="E2" s="98"/>
    </row>
    <row r="3" spans="2:5" x14ac:dyDescent="0.3">
      <c r="B3" s="96" t="s">
        <v>0</v>
      </c>
      <c r="C3" s="96"/>
      <c r="D3" s="96"/>
      <c r="E3" s="138"/>
    </row>
    <row r="5" spans="2:5" ht="30" customHeight="1" x14ac:dyDescent="0.3">
      <c r="B5" s="172" t="s">
        <v>2</v>
      </c>
      <c r="C5" s="172" t="s">
        <v>1</v>
      </c>
      <c r="D5" s="171" t="s">
        <v>538</v>
      </c>
      <c r="E5" s="171" t="s">
        <v>657</v>
      </c>
    </row>
    <row r="6" spans="2:5" x14ac:dyDescent="0.3">
      <c r="B6" s="177"/>
      <c r="C6" s="177"/>
      <c r="D6" s="177" t="s">
        <v>705</v>
      </c>
      <c r="E6" s="177" t="s">
        <v>706</v>
      </c>
    </row>
    <row r="7" spans="2:5" x14ac:dyDescent="0.3">
      <c r="B7" s="79" t="s">
        <v>305</v>
      </c>
      <c r="C7" s="62"/>
      <c r="D7" s="62"/>
      <c r="E7" s="62"/>
    </row>
    <row r="8" spans="2:5" hidden="1" outlineLevel="1" x14ac:dyDescent="0.3">
      <c r="B8" s="51" t="s">
        <v>306</v>
      </c>
      <c r="C8" s="51" t="s">
        <v>307</v>
      </c>
      <c r="D8" s="52">
        <v>796749.49</v>
      </c>
      <c r="E8" s="53"/>
    </row>
    <row r="9" spans="2:5" hidden="1" outlineLevel="1" x14ac:dyDescent="0.3">
      <c r="B9" s="54" t="s">
        <v>308</v>
      </c>
      <c r="C9" s="54" t="s">
        <v>307</v>
      </c>
      <c r="D9" s="55">
        <v>-265583</v>
      </c>
      <c r="E9" s="55">
        <v>265583</v>
      </c>
    </row>
    <row r="10" spans="2:5" hidden="1" outlineLevel="1" x14ac:dyDescent="0.3">
      <c r="B10" s="51" t="s">
        <v>309</v>
      </c>
      <c r="C10" s="51" t="s">
        <v>310</v>
      </c>
      <c r="D10" s="52">
        <v>-265583</v>
      </c>
      <c r="E10" s="52">
        <v>265583</v>
      </c>
    </row>
    <row r="11" spans="2:5" hidden="1" outlineLevel="1" x14ac:dyDescent="0.3">
      <c r="B11" s="54" t="s">
        <v>311</v>
      </c>
      <c r="C11" s="54" t="s">
        <v>312</v>
      </c>
      <c r="D11" s="55">
        <v>-265583.49</v>
      </c>
      <c r="E11" s="55">
        <v>265583.49</v>
      </c>
    </row>
    <row r="12" spans="2:5" hidden="1" outlineLevel="1" x14ac:dyDescent="0.3">
      <c r="B12" s="51" t="s">
        <v>313</v>
      </c>
      <c r="C12" s="51" t="s">
        <v>314</v>
      </c>
      <c r="D12" s="52">
        <v>796748.99</v>
      </c>
      <c r="E12" s="53"/>
    </row>
    <row r="13" spans="2:5" hidden="1" outlineLevel="1" x14ac:dyDescent="0.3">
      <c r="B13" s="54" t="s">
        <v>315</v>
      </c>
      <c r="C13" s="54" t="s">
        <v>314</v>
      </c>
      <c r="D13" s="55">
        <v>-265583</v>
      </c>
      <c r="E13" s="55">
        <v>265583</v>
      </c>
    </row>
    <row r="14" spans="2:5" hidden="1" outlineLevel="1" x14ac:dyDescent="0.3">
      <c r="B14" s="51" t="s">
        <v>316</v>
      </c>
      <c r="C14" s="51" t="s">
        <v>317</v>
      </c>
      <c r="D14" s="52">
        <v>-265583</v>
      </c>
      <c r="E14" s="52">
        <v>265583</v>
      </c>
    </row>
    <row r="15" spans="2:5" hidden="1" outlineLevel="1" x14ac:dyDescent="0.3">
      <c r="B15" s="54" t="s">
        <v>318</v>
      </c>
      <c r="C15" s="54" t="s">
        <v>319</v>
      </c>
      <c r="D15" s="55">
        <v>-265582.99</v>
      </c>
      <c r="E15" s="55">
        <v>265582.99</v>
      </c>
    </row>
    <row r="16" spans="2:5" hidden="1" outlineLevel="1" x14ac:dyDescent="0.3">
      <c r="B16" s="51" t="s">
        <v>320</v>
      </c>
      <c r="C16" s="51" t="s">
        <v>321</v>
      </c>
      <c r="D16" s="53"/>
      <c r="E16" s="52">
        <v>433692.41</v>
      </c>
    </row>
    <row r="17" spans="2:5" hidden="1" outlineLevel="1" x14ac:dyDescent="0.3">
      <c r="B17" s="54" t="s">
        <v>322</v>
      </c>
      <c r="C17" s="54" t="s">
        <v>323</v>
      </c>
      <c r="D17" s="55">
        <v>289128.27</v>
      </c>
      <c r="E17" s="55">
        <v>-289128.27</v>
      </c>
    </row>
    <row r="18" spans="2:5" hidden="1" outlineLevel="1" x14ac:dyDescent="0.3">
      <c r="B18" s="51" t="s">
        <v>324</v>
      </c>
      <c r="C18" s="51" t="s">
        <v>325</v>
      </c>
      <c r="D18" s="52">
        <v>-144564.14000000001</v>
      </c>
      <c r="E18" s="52">
        <v>144564.14000000001</v>
      </c>
    </row>
    <row r="19" spans="2:5" hidden="1" outlineLevel="1" x14ac:dyDescent="0.3">
      <c r="B19" s="54" t="s">
        <v>326</v>
      </c>
      <c r="C19" s="54" t="s">
        <v>327</v>
      </c>
      <c r="D19" s="55">
        <v>-144564.14000000001</v>
      </c>
      <c r="E19" s="55">
        <v>144564.14000000001</v>
      </c>
    </row>
    <row r="20" spans="2:5" hidden="1" outlineLevel="1" x14ac:dyDescent="0.3">
      <c r="B20" s="51" t="s">
        <v>328</v>
      </c>
      <c r="C20" s="51" t="s">
        <v>327</v>
      </c>
      <c r="D20" s="53"/>
      <c r="E20" s="52">
        <v>239204.01</v>
      </c>
    </row>
    <row r="21" spans="2:5" hidden="1" outlineLevel="1" x14ac:dyDescent="0.3">
      <c r="B21" s="54" t="s">
        <v>329</v>
      </c>
      <c r="C21" s="54" t="s">
        <v>330</v>
      </c>
      <c r="D21" s="56"/>
      <c r="E21" s="55">
        <v>433692.41</v>
      </c>
    </row>
    <row r="22" spans="2:5" hidden="1" outlineLevel="1" x14ac:dyDescent="0.3">
      <c r="B22" s="51" t="s">
        <v>331</v>
      </c>
      <c r="C22" s="51" t="s">
        <v>332</v>
      </c>
      <c r="D22" s="52">
        <v>289128.27</v>
      </c>
      <c r="E22" s="52">
        <v>-289128.27</v>
      </c>
    </row>
    <row r="23" spans="2:5" hidden="1" outlineLevel="1" x14ac:dyDescent="0.3">
      <c r="B23" s="54" t="s">
        <v>333</v>
      </c>
      <c r="C23" s="54" t="s">
        <v>332</v>
      </c>
      <c r="D23" s="56"/>
      <c r="E23" s="55">
        <v>86935.84</v>
      </c>
    </row>
    <row r="24" spans="2:5" hidden="1" outlineLevel="1" x14ac:dyDescent="0.3">
      <c r="B24" s="51" t="s">
        <v>334</v>
      </c>
      <c r="C24" s="51" t="s">
        <v>335</v>
      </c>
      <c r="D24" s="52">
        <v>-144564.14000000001</v>
      </c>
      <c r="E24" s="52">
        <v>144564.14000000001</v>
      </c>
    </row>
    <row r="25" spans="2:5" hidden="1" outlineLevel="1" x14ac:dyDescent="0.3">
      <c r="B25" s="54" t="s">
        <v>336</v>
      </c>
      <c r="C25" s="54" t="s">
        <v>335</v>
      </c>
      <c r="D25" s="56"/>
      <c r="E25" s="55">
        <v>86935.84</v>
      </c>
    </row>
    <row r="26" spans="2:5" hidden="1" outlineLevel="1" x14ac:dyDescent="0.3">
      <c r="B26" s="51" t="s">
        <v>337</v>
      </c>
      <c r="C26" s="51" t="s">
        <v>338</v>
      </c>
      <c r="D26" s="52">
        <v>-144564.14000000001</v>
      </c>
      <c r="E26" s="52">
        <v>144564.14000000001</v>
      </c>
    </row>
    <row r="27" spans="2:5" hidden="1" outlineLevel="1" x14ac:dyDescent="0.3">
      <c r="B27" s="54" t="s">
        <v>339</v>
      </c>
      <c r="C27" s="54" t="s">
        <v>338</v>
      </c>
      <c r="D27" s="56"/>
      <c r="E27" s="55">
        <v>86935.84</v>
      </c>
    </row>
    <row r="28" spans="2:5" hidden="1" outlineLevel="1" x14ac:dyDescent="0.3">
      <c r="B28" s="51" t="s">
        <v>340</v>
      </c>
      <c r="C28" s="51" t="s">
        <v>341</v>
      </c>
      <c r="D28" s="53"/>
      <c r="E28" s="52">
        <v>893567.25</v>
      </c>
    </row>
    <row r="29" spans="2:5" hidden="1" outlineLevel="1" x14ac:dyDescent="0.3">
      <c r="B29" s="54" t="s">
        <v>342</v>
      </c>
      <c r="C29" s="54"/>
      <c r="D29" s="56"/>
      <c r="E29" s="55">
        <v>-229943.16</v>
      </c>
    </row>
    <row r="30" spans="2:5" hidden="1" outlineLevel="1" x14ac:dyDescent="0.3">
      <c r="B30" s="51" t="s">
        <v>343</v>
      </c>
      <c r="C30" s="51"/>
      <c r="D30" s="52">
        <v>595711.5</v>
      </c>
      <c r="E30" s="52">
        <v>-595711.5</v>
      </c>
    </row>
    <row r="31" spans="2:5" hidden="1" outlineLevel="1" x14ac:dyDescent="0.3">
      <c r="B31" s="54" t="s">
        <v>344</v>
      </c>
      <c r="C31" s="54"/>
      <c r="D31" s="55">
        <v>-153295.44</v>
      </c>
      <c r="E31" s="55">
        <v>153295.44</v>
      </c>
    </row>
    <row r="32" spans="2:5" hidden="1" outlineLevel="1" x14ac:dyDescent="0.3">
      <c r="B32" s="51" t="s">
        <v>345</v>
      </c>
      <c r="C32" s="51"/>
      <c r="D32" s="52">
        <v>-297855.75</v>
      </c>
      <c r="E32" s="52">
        <v>297855.75</v>
      </c>
    </row>
    <row r="33" spans="2:5" hidden="1" outlineLevel="1" x14ac:dyDescent="0.3">
      <c r="B33" s="54" t="s">
        <v>346</v>
      </c>
      <c r="C33" s="54"/>
      <c r="D33" s="55">
        <v>76647.72</v>
      </c>
      <c r="E33" s="55">
        <v>-76647.72</v>
      </c>
    </row>
    <row r="34" spans="2:5" hidden="1" outlineLevel="1" x14ac:dyDescent="0.3">
      <c r="B34" s="51" t="s">
        <v>347</v>
      </c>
      <c r="C34" s="51"/>
      <c r="D34" s="52">
        <v>-297855.75</v>
      </c>
      <c r="E34" s="52">
        <v>297855.75</v>
      </c>
    </row>
    <row r="35" spans="2:5" hidden="1" outlineLevel="1" x14ac:dyDescent="0.3">
      <c r="B35" s="54" t="s">
        <v>348</v>
      </c>
      <c r="C35" s="54"/>
      <c r="D35" s="55">
        <v>76647.72</v>
      </c>
      <c r="E35" s="55">
        <v>-76647.72</v>
      </c>
    </row>
    <row r="36" spans="2:5" hidden="1" outlineLevel="1" x14ac:dyDescent="0.3">
      <c r="B36" s="51" t="s">
        <v>349</v>
      </c>
      <c r="C36" s="51" t="s">
        <v>350</v>
      </c>
      <c r="D36" s="53"/>
      <c r="E36" s="52">
        <v>893567.24</v>
      </c>
    </row>
    <row r="37" spans="2:5" hidden="1" outlineLevel="1" x14ac:dyDescent="0.3">
      <c r="B37" s="54" t="s">
        <v>351</v>
      </c>
      <c r="C37" s="54"/>
      <c r="D37" s="55">
        <v>595711.49</v>
      </c>
      <c r="E37" s="55">
        <v>-595711.49</v>
      </c>
    </row>
    <row r="38" spans="2:5" hidden="1" outlineLevel="1" x14ac:dyDescent="0.3">
      <c r="B38" s="51" t="s">
        <v>352</v>
      </c>
      <c r="C38" s="51"/>
      <c r="D38" s="52">
        <v>-229943.16</v>
      </c>
      <c r="E38" s="53"/>
    </row>
    <row r="39" spans="2:5" hidden="1" outlineLevel="1" x14ac:dyDescent="0.3">
      <c r="B39" s="54" t="s">
        <v>353</v>
      </c>
      <c r="C39" s="54"/>
      <c r="D39" s="55">
        <v>76647.72</v>
      </c>
      <c r="E39" s="55">
        <v>-76647.72</v>
      </c>
    </row>
    <row r="40" spans="2:5" hidden="1" outlineLevel="1" x14ac:dyDescent="0.3">
      <c r="B40" s="51" t="s">
        <v>354</v>
      </c>
      <c r="C40" s="51"/>
      <c r="D40" s="52">
        <v>-297855.75</v>
      </c>
      <c r="E40" s="52">
        <v>297855.75</v>
      </c>
    </row>
    <row r="41" spans="2:5" hidden="1" outlineLevel="1" x14ac:dyDescent="0.3">
      <c r="B41" s="54" t="s">
        <v>355</v>
      </c>
      <c r="C41" s="54"/>
      <c r="D41" s="55">
        <v>76647.72</v>
      </c>
      <c r="E41" s="55">
        <v>-76647.72</v>
      </c>
    </row>
    <row r="42" spans="2:5" hidden="1" outlineLevel="1" x14ac:dyDescent="0.3">
      <c r="B42" s="51" t="s">
        <v>356</v>
      </c>
      <c r="C42" s="51"/>
      <c r="D42" s="52">
        <v>-297855.74</v>
      </c>
      <c r="E42" s="52">
        <v>297855.74</v>
      </c>
    </row>
    <row r="43" spans="2:5" hidden="1" outlineLevel="1" x14ac:dyDescent="0.3">
      <c r="B43" s="54" t="s">
        <v>357</v>
      </c>
      <c r="C43" s="54"/>
      <c r="D43" s="55">
        <v>76647.72</v>
      </c>
      <c r="E43" s="55">
        <v>-76647.72</v>
      </c>
    </row>
    <row r="44" spans="2:5" hidden="1" outlineLevel="1" x14ac:dyDescent="0.3">
      <c r="B44" s="51" t="s">
        <v>358</v>
      </c>
      <c r="C44" s="51" t="s">
        <v>50</v>
      </c>
      <c r="D44" s="53"/>
      <c r="E44" s="52">
        <v>680220.57</v>
      </c>
    </row>
    <row r="45" spans="2:5" hidden="1" outlineLevel="1" x14ac:dyDescent="0.3">
      <c r="B45" s="54" t="s">
        <v>359</v>
      </c>
      <c r="C45" s="54" t="s">
        <v>50</v>
      </c>
      <c r="D45" s="55">
        <v>453480.38</v>
      </c>
      <c r="E45" s="55">
        <v>-453480.38</v>
      </c>
    </row>
    <row r="46" spans="2:5" hidden="1" outlineLevel="1" x14ac:dyDescent="0.3">
      <c r="B46" s="51" t="s">
        <v>360</v>
      </c>
      <c r="C46" s="51" t="s">
        <v>53</v>
      </c>
      <c r="D46" s="52">
        <v>-226740.19</v>
      </c>
      <c r="E46" s="52">
        <v>226740.19</v>
      </c>
    </row>
    <row r="47" spans="2:5" hidden="1" outlineLevel="1" x14ac:dyDescent="0.3">
      <c r="B47" s="54" t="s">
        <v>361</v>
      </c>
      <c r="C47" s="54" t="s">
        <v>362</v>
      </c>
      <c r="D47" s="55">
        <v>-226740.19</v>
      </c>
      <c r="E47" s="55">
        <v>226740.19</v>
      </c>
    </row>
    <row r="48" spans="2:5" hidden="1" outlineLevel="1" x14ac:dyDescent="0.3">
      <c r="B48" s="51" t="s">
        <v>363</v>
      </c>
      <c r="C48" s="51" t="s">
        <v>59</v>
      </c>
      <c r="D48" s="53"/>
      <c r="E48" s="52">
        <v>680220.57</v>
      </c>
    </row>
    <row r="49" spans="2:5" hidden="1" outlineLevel="1" x14ac:dyDescent="0.3">
      <c r="B49" s="54" t="s">
        <v>364</v>
      </c>
      <c r="C49" s="54" t="s">
        <v>365</v>
      </c>
      <c r="D49" s="55">
        <v>453480.38</v>
      </c>
      <c r="E49" s="55">
        <v>-453480.38</v>
      </c>
    </row>
    <row r="50" spans="2:5" hidden="1" outlineLevel="1" x14ac:dyDescent="0.3">
      <c r="B50" s="51" t="s">
        <v>366</v>
      </c>
      <c r="C50" s="51" t="s">
        <v>367</v>
      </c>
      <c r="D50" s="52">
        <v>-226740.19</v>
      </c>
      <c r="E50" s="52">
        <v>226740.19</v>
      </c>
    </row>
    <row r="51" spans="2:5" hidden="1" outlineLevel="1" x14ac:dyDescent="0.3">
      <c r="B51" s="54" t="s">
        <v>368</v>
      </c>
      <c r="C51" s="54" t="s">
        <v>369</v>
      </c>
      <c r="D51" s="55">
        <v>-226740.19</v>
      </c>
      <c r="E51" s="55">
        <v>226740.19</v>
      </c>
    </row>
    <row r="52" spans="2:5" hidden="1" outlineLevel="1" x14ac:dyDescent="0.3">
      <c r="B52" s="51" t="s">
        <v>370</v>
      </c>
      <c r="C52" s="51" t="s">
        <v>369</v>
      </c>
      <c r="D52" s="53"/>
      <c r="E52" s="52">
        <v>1301023.33</v>
      </c>
    </row>
    <row r="53" spans="2:5" hidden="1" outlineLevel="1" x14ac:dyDescent="0.3">
      <c r="B53" s="54" t="s">
        <v>371</v>
      </c>
      <c r="C53" s="54" t="s">
        <v>67</v>
      </c>
      <c r="D53" s="56"/>
      <c r="E53" s="55">
        <v>651404.28</v>
      </c>
    </row>
    <row r="54" spans="2:5" hidden="1" outlineLevel="1" x14ac:dyDescent="0.3">
      <c r="B54" s="51" t="s">
        <v>372</v>
      </c>
      <c r="C54" s="51" t="s">
        <v>373</v>
      </c>
      <c r="D54" s="52">
        <v>434269.52</v>
      </c>
      <c r="E54" s="52">
        <v>-434269.52</v>
      </c>
    </row>
    <row r="55" spans="2:5" hidden="1" outlineLevel="1" x14ac:dyDescent="0.3">
      <c r="B55" s="54" t="s">
        <v>374</v>
      </c>
      <c r="C55" s="54" t="s">
        <v>375</v>
      </c>
      <c r="D55" s="55">
        <v>-217134.76</v>
      </c>
      <c r="E55" s="55">
        <v>217134.76</v>
      </c>
    </row>
    <row r="56" spans="2:5" hidden="1" outlineLevel="1" x14ac:dyDescent="0.3">
      <c r="B56" s="51" t="s">
        <v>376</v>
      </c>
      <c r="C56" s="51" t="s">
        <v>123</v>
      </c>
      <c r="D56" s="52">
        <v>-217134.76</v>
      </c>
      <c r="E56" s="52">
        <v>217134.76</v>
      </c>
    </row>
    <row r="57" spans="2:5" hidden="1" outlineLevel="1" x14ac:dyDescent="0.3">
      <c r="B57" s="54" t="s">
        <v>377</v>
      </c>
      <c r="C57" s="54" t="s">
        <v>75</v>
      </c>
      <c r="D57" s="56"/>
      <c r="E57" s="55">
        <v>651404.28</v>
      </c>
    </row>
    <row r="58" spans="2:5" hidden="1" outlineLevel="1" x14ac:dyDescent="0.3">
      <c r="B58" s="51" t="s">
        <v>378</v>
      </c>
      <c r="C58" s="51" t="s">
        <v>126</v>
      </c>
      <c r="D58" s="52">
        <v>434269.52</v>
      </c>
      <c r="E58" s="52">
        <v>-434269.52</v>
      </c>
    </row>
    <row r="59" spans="2:5" hidden="1" outlineLevel="1" x14ac:dyDescent="0.3">
      <c r="B59" s="54" t="s">
        <v>379</v>
      </c>
      <c r="C59" s="54" t="s">
        <v>128</v>
      </c>
      <c r="D59" s="55">
        <v>-217134.76</v>
      </c>
      <c r="E59" s="55">
        <v>217134.76</v>
      </c>
    </row>
    <row r="60" spans="2:5" hidden="1" outlineLevel="1" x14ac:dyDescent="0.3">
      <c r="B60" s="51" t="s">
        <v>380</v>
      </c>
      <c r="C60" s="51" t="s">
        <v>130</v>
      </c>
      <c r="D60" s="52">
        <v>-217134.76</v>
      </c>
      <c r="E60" s="52">
        <v>217134.76</v>
      </c>
    </row>
    <row r="61" spans="2:5" hidden="1" outlineLevel="1" x14ac:dyDescent="0.3">
      <c r="B61" s="54" t="s">
        <v>381</v>
      </c>
      <c r="C61" s="54" t="s">
        <v>83</v>
      </c>
      <c r="D61" s="56"/>
      <c r="E61" s="55">
        <v>682444.67</v>
      </c>
    </row>
    <row r="62" spans="2:5" hidden="1" outlineLevel="1" x14ac:dyDescent="0.3">
      <c r="B62" s="51" t="s">
        <v>382</v>
      </c>
      <c r="C62" s="51" t="s">
        <v>132</v>
      </c>
      <c r="D62" s="52">
        <v>454963.11</v>
      </c>
      <c r="E62" s="52">
        <v>-454963.11</v>
      </c>
    </row>
    <row r="63" spans="2:5" hidden="1" outlineLevel="1" x14ac:dyDescent="0.3">
      <c r="B63" s="54" t="s">
        <v>383</v>
      </c>
      <c r="C63" s="54" t="s">
        <v>134</v>
      </c>
      <c r="D63" s="55">
        <v>-227481.56</v>
      </c>
      <c r="E63" s="55">
        <v>227481.56</v>
      </c>
    </row>
    <row r="64" spans="2:5" hidden="1" outlineLevel="1" x14ac:dyDescent="0.3">
      <c r="B64" s="51" t="s">
        <v>384</v>
      </c>
      <c r="C64" s="51" t="s">
        <v>136</v>
      </c>
      <c r="D64" s="52">
        <v>-227481.55</v>
      </c>
      <c r="E64" s="52">
        <v>227481.55</v>
      </c>
    </row>
    <row r="65" spans="2:5" hidden="1" outlineLevel="1" x14ac:dyDescent="0.3">
      <c r="B65" s="54" t="s">
        <v>385</v>
      </c>
      <c r="C65" s="54" t="s">
        <v>138</v>
      </c>
      <c r="D65" s="56"/>
      <c r="E65" s="55">
        <v>682457.73</v>
      </c>
    </row>
    <row r="66" spans="2:5" hidden="1" outlineLevel="1" x14ac:dyDescent="0.3">
      <c r="B66" s="51" t="s">
        <v>386</v>
      </c>
      <c r="C66" s="51" t="s">
        <v>138</v>
      </c>
      <c r="D66" s="52">
        <v>454971.82</v>
      </c>
      <c r="E66" s="52">
        <v>-454971.82</v>
      </c>
    </row>
    <row r="67" spans="2:5" hidden="1" outlineLevel="1" x14ac:dyDescent="0.3">
      <c r="B67" s="54" t="s">
        <v>387</v>
      </c>
      <c r="C67" s="54" t="s">
        <v>140</v>
      </c>
      <c r="D67" s="55">
        <v>-227485.91</v>
      </c>
      <c r="E67" s="55">
        <v>227485.91</v>
      </c>
    </row>
    <row r="68" spans="2:5" hidden="1" outlineLevel="1" x14ac:dyDescent="0.3">
      <c r="B68" s="51" t="s">
        <v>388</v>
      </c>
      <c r="C68" s="51" t="s">
        <v>142</v>
      </c>
      <c r="D68" s="52">
        <v>-227485.91</v>
      </c>
      <c r="E68" s="52">
        <v>227485.91</v>
      </c>
    </row>
    <row r="69" spans="2:5" collapsed="1" x14ac:dyDescent="0.3">
      <c r="B69" s="54" t="s">
        <v>389</v>
      </c>
      <c r="C69" s="179" t="s">
        <v>144</v>
      </c>
      <c r="D69" s="56"/>
      <c r="E69" s="55">
        <v>498494.07</v>
      </c>
    </row>
    <row r="70" spans="2:5" x14ac:dyDescent="0.3">
      <c r="B70" s="51" t="s">
        <v>390</v>
      </c>
      <c r="C70" s="178" t="s">
        <v>144</v>
      </c>
      <c r="D70" s="52">
        <v>332329.38</v>
      </c>
      <c r="E70" s="52">
        <v>-332329.38</v>
      </c>
    </row>
    <row r="71" spans="2:5" x14ac:dyDescent="0.3">
      <c r="B71" s="79" t="s">
        <v>391</v>
      </c>
      <c r="C71" s="62"/>
      <c r="D71" s="62"/>
      <c r="E71" s="62"/>
    </row>
    <row r="72" spans="2:5" hidden="1" outlineLevel="1" x14ac:dyDescent="0.3">
      <c r="B72" s="51" t="s">
        <v>392</v>
      </c>
      <c r="C72" s="51" t="s">
        <v>341</v>
      </c>
      <c r="D72" s="53"/>
      <c r="E72" s="52">
        <v>206.01</v>
      </c>
    </row>
    <row r="73" spans="2:5" hidden="1" outlineLevel="1" x14ac:dyDescent="0.3">
      <c r="B73" s="54" t="s">
        <v>393</v>
      </c>
      <c r="C73" s="54" t="s">
        <v>341</v>
      </c>
      <c r="D73" s="55">
        <v>137.34</v>
      </c>
      <c r="E73" s="55">
        <v>-137.34</v>
      </c>
    </row>
    <row r="74" spans="2:5" hidden="1" outlineLevel="1" x14ac:dyDescent="0.3">
      <c r="B74" s="51" t="s">
        <v>394</v>
      </c>
      <c r="C74" s="51" t="s">
        <v>310</v>
      </c>
      <c r="D74" s="52">
        <v>-68.67</v>
      </c>
      <c r="E74" s="52">
        <v>68.67</v>
      </c>
    </row>
    <row r="75" spans="2:5" hidden="1" outlineLevel="1" x14ac:dyDescent="0.3">
      <c r="B75" s="54" t="s">
        <v>395</v>
      </c>
      <c r="C75" s="54" t="s">
        <v>312</v>
      </c>
      <c r="D75" s="55">
        <v>-68.67</v>
      </c>
      <c r="E75" s="55">
        <v>68.67</v>
      </c>
    </row>
    <row r="76" spans="2:5" hidden="1" outlineLevel="1" x14ac:dyDescent="0.3">
      <c r="B76" s="51" t="s">
        <v>396</v>
      </c>
      <c r="C76" s="51" t="s">
        <v>98</v>
      </c>
      <c r="D76" s="53"/>
      <c r="E76" s="52">
        <v>206</v>
      </c>
    </row>
    <row r="77" spans="2:5" hidden="1" outlineLevel="1" x14ac:dyDescent="0.3">
      <c r="B77" s="54" t="s">
        <v>397</v>
      </c>
      <c r="C77" s="54" t="s">
        <v>98</v>
      </c>
      <c r="D77" s="55">
        <v>137.33000000000001</v>
      </c>
      <c r="E77" s="55">
        <v>-137.33000000000001</v>
      </c>
    </row>
    <row r="78" spans="2:5" hidden="1" outlineLevel="1" x14ac:dyDescent="0.3">
      <c r="B78" s="51" t="s">
        <v>398</v>
      </c>
      <c r="C78" s="51" t="s">
        <v>100</v>
      </c>
      <c r="D78" s="52">
        <v>-68.67</v>
      </c>
      <c r="E78" s="52">
        <v>68.67</v>
      </c>
    </row>
    <row r="79" spans="2:5" hidden="1" outlineLevel="1" x14ac:dyDescent="0.3">
      <c r="B79" s="54" t="s">
        <v>399</v>
      </c>
      <c r="C79" s="54" t="s">
        <v>100</v>
      </c>
      <c r="D79" s="55">
        <v>-68.67</v>
      </c>
      <c r="E79" s="55">
        <v>68.67</v>
      </c>
    </row>
    <row r="80" spans="2:5" hidden="1" outlineLevel="1" x14ac:dyDescent="0.3">
      <c r="B80" s="51" t="s">
        <v>400</v>
      </c>
      <c r="C80" s="51" t="s">
        <v>48</v>
      </c>
      <c r="D80" s="53"/>
      <c r="E80" s="52">
        <v>5000</v>
      </c>
    </row>
    <row r="81" spans="2:5" hidden="1" outlineLevel="1" x14ac:dyDescent="0.3">
      <c r="B81" s="54" t="s">
        <v>401</v>
      </c>
      <c r="C81" s="54" t="s">
        <v>50</v>
      </c>
      <c r="D81" s="56"/>
      <c r="E81" s="55">
        <v>200.27</v>
      </c>
    </row>
    <row r="82" spans="2:5" hidden="1" outlineLevel="1" x14ac:dyDescent="0.3">
      <c r="B82" s="51" t="s">
        <v>402</v>
      </c>
      <c r="C82" s="51" t="s">
        <v>50</v>
      </c>
      <c r="D82" s="52">
        <v>133.51</v>
      </c>
      <c r="E82" s="52">
        <v>-133.51</v>
      </c>
    </row>
    <row r="83" spans="2:5" hidden="1" outlineLevel="1" x14ac:dyDescent="0.3">
      <c r="B83" s="54" t="s">
        <v>403</v>
      </c>
      <c r="C83" s="54" t="s">
        <v>53</v>
      </c>
      <c r="D83" s="55">
        <v>-66.760000000000005</v>
      </c>
      <c r="E83" s="55">
        <v>66.760000000000005</v>
      </c>
    </row>
    <row r="84" spans="2:5" hidden="1" outlineLevel="1" x14ac:dyDescent="0.3">
      <c r="B84" s="51" t="s">
        <v>404</v>
      </c>
      <c r="C84" s="51" t="s">
        <v>362</v>
      </c>
      <c r="D84" s="52">
        <v>-66.75</v>
      </c>
      <c r="E84" s="52">
        <v>66.75</v>
      </c>
    </row>
    <row r="85" spans="2:5" hidden="1" outlineLevel="1" x14ac:dyDescent="0.3">
      <c r="B85" s="54" t="s">
        <v>405</v>
      </c>
      <c r="C85" s="54" t="s">
        <v>59</v>
      </c>
      <c r="D85" s="56"/>
      <c r="E85" s="55">
        <v>200.27</v>
      </c>
    </row>
    <row r="86" spans="2:5" hidden="1" outlineLevel="1" x14ac:dyDescent="0.3">
      <c r="B86" s="51" t="s">
        <v>406</v>
      </c>
      <c r="C86" s="51" t="s">
        <v>365</v>
      </c>
      <c r="D86" s="52">
        <v>133.51</v>
      </c>
      <c r="E86" s="52">
        <v>-133.51</v>
      </c>
    </row>
    <row r="87" spans="2:5" hidden="1" outlineLevel="1" x14ac:dyDescent="0.3">
      <c r="B87" s="54" t="s">
        <v>407</v>
      </c>
      <c r="C87" s="54" t="s">
        <v>367</v>
      </c>
      <c r="D87" s="55">
        <v>-66.75</v>
      </c>
      <c r="E87" s="55">
        <v>66.75</v>
      </c>
    </row>
    <row r="88" spans="2:5" hidden="1" outlineLevel="1" x14ac:dyDescent="0.3">
      <c r="B88" s="51" t="s">
        <v>408</v>
      </c>
      <c r="C88" s="51" t="s">
        <v>369</v>
      </c>
      <c r="D88" s="52">
        <v>-66.760000000000005</v>
      </c>
      <c r="E88" s="52">
        <v>66.760000000000005</v>
      </c>
    </row>
    <row r="89" spans="2:5" hidden="1" outlineLevel="1" x14ac:dyDescent="0.3">
      <c r="B89" s="54" t="s">
        <v>409</v>
      </c>
      <c r="C89" s="54" t="s">
        <v>67</v>
      </c>
      <c r="D89" s="56"/>
      <c r="E89" s="55">
        <v>226.41</v>
      </c>
    </row>
    <row r="90" spans="2:5" hidden="1" outlineLevel="1" x14ac:dyDescent="0.3">
      <c r="B90" s="51" t="s">
        <v>410</v>
      </c>
      <c r="C90" s="51" t="s">
        <v>373</v>
      </c>
      <c r="D90" s="52">
        <v>150.94</v>
      </c>
      <c r="E90" s="52">
        <v>-150.94</v>
      </c>
    </row>
    <row r="91" spans="2:5" hidden="1" outlineLevel="1" x14ac:dyDescent="0.3">
      <c r="B91" s="54" t="s">
        <v>411</v>
      </c>
      <c r="C91" s="54" t="s">
        <v>375</v>
      </c>
      <c r="D91" s="55">
        <v>-75.47</v>
      </c>
      <c r="E91" s="55">
        <v>75.47</v>
      </c>
    </row>
    <row r="92" spans="2:5" hidden="1" outlineLevel="1" x14ac:dyDescent="0.3">
      <c r="B92" s="51" t="s">
        <v>412</v>
      </c>
      <c r="C92" s="51" t="s">
        <v>123</v>
      </c>
      <c r="D92" s="52">
        <v>-75.47</v>
      </c>
      <c r="E92" s="52">
        <v>75.47</v>
      </c>
    </row>
    <row r="93" spans="2:5" hidden="1" outlineLevel="1" x14ac:dyDescent="0.3">
      <c r="B93" s="54" t="s">
        <v>413</v>
      </c>
      <c r="C93" s="54" t="s">
        <v>75</v>
      </c>
      <c r="D93" s="56"/>
      <c r="E93" s="55">
        <v>226.41</v>
      </c>
    </row>
    <row r="94" spans="2:5" hidden="1" outlineLevel="1" x14ac:dyDescent="0.3">
      <c r="B94" s="51" t="s">
        <v>414</v>
      </c>
      <c r="C94" s="51" t="s">
        <v>126</v>
      </c>
      <c r="D94" s="52">
        <v>150.94</v>
      </c>
      <c r="E94" s="52">
        <v>-150.94</v>
      </c>
    </row>
    <row r="95" spans="2:5" hidden="1" outlineLevel="1" x14ac:dyDescent="0.3">
      <c r="B95" s="54" t="s">
        <v>415</v>
      </c>
      <c r="C95" s="54" t="s">
        <v>128</v>
      </c>
      <c r="D95" s="55">
        <v>-75.47</v>
      </c>
      <c r="E95" s="55">
        <v>75.47</v>
      </c>
    </row>
    <row r="96" spans="2:5" hidden="1" outlineLevel="1" x14ac:dyDescent="0.3">
      <c r="B96" s="51" t="s">
        <v>416</v>
      </c>
      <c r="C96" s="51" t="s">
        <v>130</v>
      </c>
      <c r="D96" s="52">
        <v>-75.47</v>
      </c>
      <c r="E96" s="52">
        <v>75.47</v>
      </c>
    </row>
    <row r="97" spans="2:5" hidden="1" outlineLevel="1" x14ac:dyDescent="0.3">
      <c r="B97" s="54" t="s">
        <v>417</v>
      </c>
      <c r="C97" s="54" t="s">
        <v>130</v>
      </c>
      <c r="D97" s="56"/>
      <c r="E97" s="55">
        <v>5000</v>
      </c>
    </row>
    <row r="98" spans="2:5" hidden="1" outlineLevel="1" x14ac:dyDescent="0.3">
      <c r="B98" s="51" t="s">
        <v>418</v>
      </c>
      <c r="C98" s="51" t="s">
        <v>83</v>
      </c>
      <c r="D98" s="53"/>
      <c r="E98" s="52">
        <v>226.41</v>
      </c>
    </row>
    <row r="99" spans="2:5" hidden="1" outlineLevel="1" x14ac:dyDescent="0.3">
      <c r="B99" s="54" t="s">
        <v>419</v>
      </c>
      <c r="C99" s="54" t="s">
        <v>132</v>
      </c>
      <c r="D99" s="55">
        <v>150.94</v>
      </c>
      <c r="E99" s="55">
        <v>-150.94</v>
      </c>
    </row>
    <row r="100" spans="2:5" hidden="1" outlineLevel="1" x14ac:dyDescent="0.3">
      <c r="B100" s="51" t="s">
        <v>420</v>
      </c>
      <c r="C100" s="51" t="s">
        <v>134</v>
      </c>
      <c r="D100" s="52">
        <v>-75.47</v>
      </c>
      <c r="E100" s="52">
        <v>75.47</v>
      </c>
    </row>
    <row r="101" spans="2:5" hidden="1" outlineLevel="1" x14ac:dyDescent="0.3">
      <c r="B101" s="54" t="s">
        <v>421</v>
      </c>
      <c r="C101" s="54" t="s">
        <v>136</v>
      </c>
      <c r="D101" s="55">
        <v>-75.47</v>
      </c>
      <c r="E101" s="55">
        <v>75.47</v>
      </c>
    </row>
    <row r="102" spans="2:5" hidden="1" outlineLevel="1" x14ac:dyDescent="0.3">
      <c r="B102" s="51" t="s">
        <v>422</v>
      </c>
      <c r="C102" s="51" t="s">
        <v>138</v>
      </c>
      <c r="D102" s="53"/>
      <c r="E102" s="52">
        <v>213.34</v>
      </c>
    </row>
    <row r="103" spans="2:5" hidden="1" outlineLevel="1" x14ac:dyDescent="0.3">
      <c r="B103" s="54" t="s">
        <v>423</v>
      </c>
      <c r="C103" s="54" t="s">
        <v>138</v>
      </c>
      <c r="D103" s="55">
        <v>142.22999999999999</v>
      </c>
      <c r="E103" s="55">
        <v>-142.22999999999999</v>
      </c>
    </row>
    <row r="104" spans="2:5" hidden="1" outlineLevel="1" x14ac:dyDescent="0.3">
      <c r="B104" s="51" t="s">
        <v>424</v>
      </c>
      <c r="C104" s="51" t="s">
        <v>140</v>
      </c>
      <c r="D104" s="52">
        <v>-71.11</v>
      </c>
      <c r="E104" s="52">
        <v>71.11</v>
      </c>
    </row>
    <row r="105" spans="2:5" hidden="1" outlineLevel="1" x14ac:dyDescent="0.3">
      <c r="B105" s="54" t="s">
        <v>425</v>
      </c>
      <c r="C105" s="54" t="s">
        <v>142</v>
      </c>
      <c r="D105" s="55">
        <v>-71.12</v>
      </c>
      <c r="E105" s="55">
        <v>71.12</v>
      </c>
    </row>
    <row r="106" spans="2:5" collapsed="1" x14ac:dyDescent="0.3">
      <c r="B106" s="51" t="s">
        <v>426</v>
      </c>
      <c r="C106" s="178">
        <v>46047</v>
      </c>
      <c r="D106" s="53"/>
      <c r="E106" s="52">
        <v>256.74</v>
      </c>
    </row>
    <row r="107" spans="2:5" x14ac:dyDescent="0.3">
      <c r="B107" s="54" t="s">
        <v>427</v>
      </c>
      <c r="C107" s="179">
        <v>46047</v>
      </c>
      <c r="D107" s="55">
        <v>171.16</v>
      </c>
      <c r="E107" s="55">
        <v>-171.16</v>
      </c>
    </row>
    <row r="108" spans="2:5" ht="15" thickBot="1" x14ac:dyDescent="0.35"/>
    <row r="109" spans="2:5" x14ac:dyDescent="0.3">
      <c r="B109" s="168" t="s">
        <v>34</v>
      </c>
      <c r="C109" s="169"/>
      <c r="D109" s="189">
        <f>SUM(D72:D107,D8:D70)</f>
        <v>332500.50999999995</v>
      </c>
      <c r="E109" s="189">
        <f>SUM(E69:E70,E106:E107)</f>
        <v>166250.26999999999</v>
      </c>
    </row>
    <row r="110" spans="2:5" x14ac:dyDescent="0.3">
      <c r="B110" s="111" t="s">
        <v>35</v>
      </c>
      <c r="C110" s="180"/>
      <c r="D110" s="88">
        <f>VLOOKUP(D5,'Trial Balance'!$A:$F,6,0)</f>
        <v>332500.53999999998</v>
      </c>
      <c r="E110" s="88">
        <f>VLOOKUP(E5,'Trial Balance'!$A:$F,6,0)</f>
        <v>166250.26999999999</v>
      </c>
    </row>
    <row r="111" spans="2:5" x14ac:dyDescent="0.3">
      <c r="B111" s="86" t="s">
        <v>36</v>
      </c>
      <c r="C111" s="87"/>
      <c r="D111" s="97">
        <f t="shared" ref="D111:E111" si="0">D109-D110</f>
        <v>-3.0000000027939677E-2</v>
      </c>
      <c r="E111" s="97">
        <f t="shared" si="0"/>
        <v>0</v>
      </c>
    </row>
    <row r="112" spans="2:5" x14ac:dyDescent="0.3">
      <c r="D112" s="50"/>
    </row>
    <row r="114" spans="2:5" x14ac:dyDescent="0.3">
      <c r="B114" s="57"/>
      <c r="E114" s="50"/>
    </row>
    <row r="115" spans="2:5" x14ac:dyDescent="0.3">
      <c r="E115" s="50"/>
    </row>
  </sheetData>
  <mergeCells count="4">
    <mergeCell ref="B71:E71"/>
    <mergeCell ref="B7:E7"/>
    <mergeCell ref="B3:D3"/>
    <mergeCell ref="B111:C1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70C0"/>
  </sheetPr>
  <dimension ref="B1:K14"/>
  <sheetViews>
    <sheetView workbookViewId="0">
      <pane xSplit="1" ySplit="5" topLeftCell="B6" activePane="bottomRight" state="frozen"/>
      <selection activeCell="B71" sqref="B71:E71"/>
      <selection pane="topRight" activeCell="B71" sqref="B71:E71"/>
      <selection pane="bottomLeft" activeCell="B71" sqref="B71:E71"/>
      <selection pane="bottomRight" activeCell="J12" sqref="I12:J12"/>
    </sheetView>
  </sheetViews>
  <sheetFormatPr defaultRowHeight="14.4" x14ac:dyDescent="0.3"/>
  <cols>
    <col min="1" max="1" width="2" customWidth="1"/>
    <col min="2" max="2" width="38" customWidth="1"/>
    <col min="3" max="3" width="24" customWidth="1"/>
    <col min="4" max="4" width="14" customWidth="1"/>
    <col min="5" max="6" width="14" style="154" customWidth="1"/>
    <col min="7" max="7" width="12" customWidth="1"/>
    <col min="8" max="8" width="14" customWidth="1"/>
    <col min="9" max="9" width="18.5546875" bestFit="1" customWidth="1"/>
    <col min="10" max="10" width="25.5546875" bestFit="1" customWidth="1"/>
    <col min="11" max="11" width="18" bestFit="1" customWidth="1"/>
  </cols>
  <sheetData>
    <row r="1" spans="2:11" ht="18" x14ac:dyDescent="0.35">
      <c r="B1" s="98" t="s">
        <v>432</v>
      </c>
      <c r="C1" s="98"/>
      <c r="D1" s="98"/>
      <c r="E1" s="98"/>
      <c r="F1" s="98"/>
      <c r="G1" s="98"/>
      <c r="H1" s="98"/>
      <c r="I1" s="98"/>
      <c r="J1" s="98"/>
      <c r="K1" s="98"/>
    </row>
    <row r="2" spans="2:11" ht="18" x14ac:dyDescent="0.35">
      <c r="B2" s="98" t="s">
        <v>699</v>
      </c>
      <c r="C2" s="98"/>
      <c r="D2" s="98"/>
      <c r="E2" s="98"/>
      <c r="F2" s="98"/>
      <c r="G2" s="98"/>
      <c r="H2" s="98"/>
      <c r="I2" s="98"/>
      <c r="J2" s="98"/>
      <c r="K2" s="98"/>
    </row>
    <row r="3" spans="2:11" x14ac:dyDescent="0.3">
      <c r="B3" s="96" t="s">
        <v>0</v>
      </c>
      <c r="C3" s="96"/>
      <c r="D3" s="96"/>
      <c r="E3" s="138"/>
      <c r="F3" s="138"/>
      <c r="G3" s="138"/>
      <c r="H3" s="138"/>
      <c r="I3" s="138"/>
      <c r="J3" s="138"/>
      <c r="K3" s="138"/>
    </row>
    <row r="5" spans="2:11" ht="18.600000000000001" customHeight="1" x14ac:dyDescent="0.3">
      <c r="B5" s="170" t="s">
        <v>428</v>
      </c>
      <c r="C5" s="171" t="s">
        <v>429</v>
      </c>
      <c r="D5" s="171" t="s">
        <v>430</v>
      </c>
      <c r="E5" s="171" t="s">
        <v>195</v>
      </c>
      <c r="F5" s="170" t="s">
        <v>196</v>
      </c>
      <c r="G5" s="171" t="s">
        <v>431</v>
      </c>
      <c r="H5" s="171" t="s">
        <v>198</v>
      </c>
      <c r="I5" s="171" t="s">
        <v>653</v>
      </c>
      <c r="J5" s="171" t="s">
        <v>655</v>
      </c>
      <c r="K5" s="171" t="s">
        <v>536</v>
      </c>
    </row>
    <row r="6" spans="2:11" x14ac:dyDescent="0.3">
      <c r="B6" s="170"/>
      <c r="C6" s="172"/>
      <c r="D6" s="171"/>
      <c r="E6" s="171"/>
      <c r="F6" s="170"/>
      <c r="G6" s="172"/>
      <c r="H6" s="171"/>
      <c r="I6" s="171" t="s">
        <v>702</v>
      </c>
      <c r="J6" s="171" t="s">
        <v>703</v>
      </c>
      <c r="K6" s="171" t="s">
        <v>537</v>
      </c>
    </row>
    <row r="7" spans="2:11" x14ac:dyDescent="0.3">
      <c r="B7" s="51" t="s">
        <v>169</v>
      </c>
      <c r="C7" s="51" t="s">
        <v>678</v>
      </c>
      <c r="D7" s="173">
        <v>48453.34</v>
      </c>
      <c r="E7" s="178">
        <v>45820</v>
      </c>
      <c r="F7" s="178">
        <v>46185</v>
      </c>
      <c r="G7" s="173">
        <f>D7/DATEDIF(E7,F7,"M")</f>
        <v>4037.7783333333332</v>
      </c>
      <c r="H7" s="173">
        <f>G7*DATEDIF(E7,'Summary Page'!$C$4,"M")</f>
        <v>28264.448333333334</v>
      </c>
      <c r="I7" s="173">
        <f>G7</f>
        <v>4037.7783333333332</v>
      </c>
      <c r="J7" s="173"/>
      <c r="K7" s="173">
        <f>D7-H7</f>
        <v>20188.891666666663</v>
      </c>
    </row>
    <row r="8" spans="2:11" x14ac:dyDescent="0.3">
      <c r="B8" s="54" t="s">
        <v>677</v>
      </c>
      <c r="C8" s="54" t="s">
        <v>678</v>
      </c>
      <c r="D8" s="176">
        <v>10456.67</v>
      </c>
      <c r="E8" s="179">
        <v>45820</v>
      </c>
      <c r="F8" s="179">
        <v>46185</v>
      </c>
      <c r="G8" s="176">
        <f>D8/DATEDIF(E8,F8,"M")</f>
        <v>871.38916666666671</v>
      </c>
      <c r="H8" s="176">
        <f>G8*DATEDIF(E8,'Summary Page'!$C$4,"M")</f>
        <v>6099.7241666666669</v>
      </c>
      <c r="I8" s="176"/>
      <c r="J8" s="176">
        <f>G8</f>
        <v>871.38916666666671</v>
      </c>
      <c r="K8" s="176">
        <f>D8-H8</f>
        <v>4356.9458333333332</v>
      </c>
    </row>
    <row r="9" spans="2:11" x14ac:dyDescent="0.3">
      <c r="B9" s="51" t="s">
        <v>700</v>
      </c>
      <c r="C9" s="51" t="s">
        <v>678</v>
      </c>
      <c r="D9" s="173">
        <v>4282.12</v>
      </c>
      <c r="E9" s="178">
        <v>45820</v>
      </c>
      <c r="F9" s="178">
        <v>46185</v>
      </c>
      <c r="G9" s="173">
        <f>D9/DATEDIF(E9,F9,"M")</f>
        <v>356.84333333333331</v>
      </c>
      <c r="H9" s="173">
        <f>G9*DATEDIF(E9,'Summary Page'!$C$4,"M")</f>
        <v>2497.9033333333332</v>
      </c>
      <c r="I9" s="173">
        <f>G9</f>
        <v>356.84333333333331</v>
      </c>
      <c r="J9" s="173"/>
      <c r="K9" s="173">
        <f>D9-H9</f>
        <v>1784.2166666666667</v>
      </c>
    </row>
    <row r="10" spans="2:11" x14ac:dyDescent="0.3">
      <c r="B10" s="54" t="s">
        <v>701</v>
      </c>
      <c r="C10" s="54" t="s">
        <v>678</v>
      </c>
      <c r="D10" s="176">
        <v>3720.72</v>
      </c>
      <c r="E10" s="179">
        <v>45820</v>
      </c>
      <c r="F10" s="179">
        <v>46185</v>
      </c>
      <c r="G10" s="176">
        <f>D10/DATEDIF(E10,F10,"M")</f>
        <v>310.06</v>
      </c>
      <c r="H10" s="176">
        <f>G10*DATEDIF(E10,'Summary Page'!$C$4,"M")</f>
        <v>2170.42</v>
      </c>
      <c r="I10" s="176">
        <f>G10</f>
        <v>310.06</v>
      </c>
      <c r="J10" s="176"/>
      <c r="K10" s="176">
        <f>D10-H10</f>
        <v>1550.2999999999997</v>
      </c>
    </row>
    <row r="11" spans="2:11" s="154" customFormat="1" ht="15" thickBot="1" x14ac:dyDescent="0.35">
      <c r="B11" s="183"/>
      <c r="C11" s="184"/>
      <c r="D11" s="185"/>
      <c r="E11" s="186"/>
      <c r="F11" s="186"/>
      <c r="G11" s="185"/>
      <c r="H11" s="187"/>
      <c r="I11" s="188"/>
      <c r="J11" s="188"/>
      <c r="K11" s="188"/>
    </row>
    <row r="12" spans="2:11" x14ac:dyDescent="0.3">
      <c r="B12" s="168" t="s">
        <v>34</v>
      </c>
      <c r="C12" s="169"/>
      <c r="D12" s="160"/>
      <c r="E12" s="160"/>
      <c r="F12" s="160"/>
      <c r="G12" s="160"/>
      <c r="H12" s="181"/>
      <c r="I12" s="189">
        <f>SUM(I7:I11)</f>
        <v>4704.6816666666673</v>
      </c>
      <c r="J12" s="189">
        <f>SUM(J7:J11)</f>
        <v>871.38916666666671</v>
      </c>
      <c r="K12" s="189">
        <f>SUM(K7:K11)</f>
        <v>27880.354166666661</v>
      </c>
    </row>
    <row r="13" spans="2:11" x14ac:dyDescent="0.3">
      <c r="B13" s="111" t="s">
        <v>35</v>
      </c>
      <c r="C13" s="180"/>
      <c r="D13" s="180"/>
      <c r="E13" s="180"/>
      <c r="F13" s="180"/>
      <c r="G13" s="180"/>
      <c r="H13" s="112"/>
      <c r="I13" s="88">
        <f>VLOOKUP(I5,'Trial Balance'!$A:$F,6,0)</f>
        <v>4037.78</v>
      </c>
      <c r="J13" s="88">
        <f>VLOOKUP(J5,'Trial Balance'!$A:$F,6,0)</f>
        <v>1538.29</v>
      </c>
      <c r="K13" s="88">
        <f>VLOOKUP(K5,'Trial Balance'!$A:$F,6,0)</f>
        <v>24348.85</v>
      </c>
    </row>
    <row r="14" spans="2:11" x14ac:dyDescent="0.3">
      <c r="B14" s="86" t="s">
        <v>36</v>
      </c>
      <c r="C14" s="87"/>
      <c r="D14" s="159"/>
      <c r="E14" s="159"/>
      <c r="F14" s="159"/>
      <c r="G14" s="159"/>
      <c r="H14" s="182"/>
      <c r="I14" s="97">
        <f t="shared" ref="I14:J14" si="0">I12-I13</f>
        <v>666.9016666666671</v>
      </c>
      <c r="J14" s="97">
        <f t="shared" si="0"/>
        <v>-666.90083333333325</v>
      </c>
      <c r="K14" s="97">
        <f>K12-K13</f>
        <v>3531.5041666666621</v>
      </c>
    </row>
  </sheetData>
  <mergeCells count="2">
    <mergeCell ref="B3:D3"/>
    <mergeCell ref="B14:C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70C0"/>
  </sheetPr>
  <dimension ref="A1:G107"/>
  <sheetViews>
    <sheetView workbookViewId="0">
      <pane xSplit="3" ySplit="6" topLeftCell="D7" activePane="bottomRight" state="frozen"/>
      <selection activeCell="B71" sqref="B71:E71"/>
      <selection pane="topRight" activeCell="B71" sqref="B71:E71"/>
      <selection pane="bottomLeft" activeCell="B71" sqref="B71:E71"/>
      <selection pane="bottomRight" activeCell="G103" sqref="G103"/>
    </sheetView>
  </sheetViews>
  <sheetFormatPr defaultRowHeight="14.4" outlineLevelRow="1" x14ac:dyDescent="0.3"/>
  <cols>
    <col min="1" max="1" width="4.109375" style="154" customWidth="1"/>
    <col min="2" max="2" width="8" customWidth="1"/>
    <col min="3" max="3" width="10" customWidth="1"/>
    <col min="4" max="4" width="46" customWidth="1"/>
    <col min="5" max="7" width="18" customWidth="1"/>
  </cols>
  <sheetData>
    <row r="1" spans="2:7" ht="18" x14ac:dyDescent="0.35">
      <c r="B1" s="95" t="s">
        <v>432</v>
      </c>
      <c r="C1" s="95"/>
      <c r="D1" s="98"/>
      <c r="E1" s="95"/>
      <c r="F1" s="95"/>
      <c r="G1" s="98"/>
    </row>
    <row r="2" spans="2:7" ht="18" x14ac:dyDescent="0.35">
      <c r="B2" s="95" t="s">
        <v>698</v>
      </c>
      <c r="C2" s="95"/>
      <c r="D2" s="98"/>
      <c r="E2" s="95"/>
      <c r="F2" s="95"/>
      <c r="G2" s="98"/>
    </row>
    <row r="3" spans="2:7" x14ac:dyDescent="0.3">
      <c r="B3" s="96" t="s">
        <v>0</v>
      </c>
      <c r="C3" s="96"/>
      <c r="D3" s="96"/>
      <c r="E3" s="96"/>
      <c r="F3" s="96"/>
      <c r="G3" s="96"/>
    </row>
    <row r="6" spans="2:7" ht="20.399999999999999" customHeight="1" x14ac:dyDescent="0.3">
      <c r="B6" s="170" t="s">
        <v>1</v>
      </c>
      <c r="C6" s="170" t="s">
        <v>434</v>
      </c>
      <c r="D6" s="170" t="s">
        <v>2</v>
      </c>
      <c r="E6" s="171" t="s">
        <v>283</v>
      </c>
      <c r="F6" s="171" t="s">
        <v>281</v>
      </c>
      <c r="G6" s="171" t="s">
        <v>665</v>
      </c>
    </row>
    <row r="7" spans="2:7" s="154" customFormat="1" ht="16.8" customHeight="1" x14ac:dyDescent="0.3">
      <c r="B7" s="170"/>
      <c r="C7" s="170"/>
      <c r="D7" s="170"/>
      <c r="E7" s="172" t="s">
        <v>566</v>
      </c>
      <c r="F7" s="171" t="s">
        <v>562</v>
      </c>
      <c r="G7" s="171" t="s">
        <v>433</v>
      </c>
    </row>
    <row r="8" spans="2:7" x14ac:dyDescent="0.3">
      <c r="B8" s="51"/>
      <c r="C8" s="51"/>
      <c r="D8" s="51" t="s">
        <v>435</v>
      </c>
      <c r="E8" s="173">
        <v>-92104195.170000002</v>
      </c>
      <c r="F8" s="173">
        <v>-701314.29</v>
      </c>
      <c r="G8" s="174"/>
    </row>
    <row r="9" spans="2:7" hidden="1" outlineLevel="1" x14ac:dyDescent="0.3">
      <c r="B9" s="54" t="s">
        <v>437</v>
      </c>
      <c r="C9" s="54"/>
      <c r="D9" s="54" t="s">
        <v>436</v>
      </c>
      <c r="E9" s="175"/>
      <c r="F9" s="176">
        <v>701314.29</v>
      </c>
      <c r="G9" s="176">
        <v>-701314.29</v>
      </c>
    </row>
    <row r="10" spans="2:7" hidden="1" outlineLevel="1" x14ac:dyDescent="0.3">
      <c r="B10" s="51" t="s">
        <v>437</v>
      </c>
      <c r="C10" s="51" t="s">
        <v>438</v>
      </c>
      <c r="D10" s="51" t="s">
        <v>439</v>
      </c>
      <c r="E10" s="174"/>
      <c r="F10" s="174"/>
      <c r="G10" s="173">
        <v>451630.77</v>
      </c>
    </row>
    <row r="11" spans="2:7" hidden="1" outlineLevel="1" x14ac:dyDescent="0.3">
      <c r="B11" s="54" t="s">
        <v>437</v>
      </c>
      <c r="C11" s="54" t="s">
        <v>440</v>
      </c>
      <c r="D11" s="54" t="s">
        <v>439</v>
      </c>
      <c r="E11" s="175"/>
      <c r="F11" s="175"/>
      <c r="G11" s="176">
        <v>224715.17</v>
      </c>
    </row>
    <row r="12" spans="2:7" hidden="1" outlineLevel="1" x14ac:dyDescent="0.3">
      <c r="B12" s="51" t="s">
        <v>437</v>
      </c>
      <c r="C12" s="51" t="s">
        <v>441</v>
      </c>
      <c r="D12" s="51" t="s">
        <v>439</v>
      </c>
      <c r="E12" s="174"/>
      <c r="F12" s="174"/>
      <c r="G12" s="173">
        <v>24968.35</v>
      </c>
    </row>
    <row r="13" spans="2:7" hidden="1" outlineLevel="1" x14ac:dyDescent="0.3">
      <c r="B13" s="54" t="s">
        <v>437</v>
      </c>
      <c r="C13" s="54" t="s">
        <v>438</v>
      </c>
      <c r="D13" s="54" t="s">
        <v>442</v>
      </c>
      <c r="E13" s="175"/>
      <c r="F13" s="176">
        <v>-440923.66</v>
      </c>
      <c r="G13" s="176">
        <v>440923.66</v>
      </c>
    </row>
    <row r="14" spans="2:7" hidden="1" outlineLevel="1" x14ac:dyDescent="0.3">
      <c r="B14" s="51" t="s">
        <v>437</v>
      </c>
      <c r="C14" s="51" t="s">
        <v>440</v>
      </c>
      <c r="D14" s="51" t="s">
        <v>443</v>
      </c>
      <c r="E14" s="174"/>
      <c r="F14" s="173">
        <v>-221503.04</v>
      </c>
      <c r="G14" s="173">
        <v>221503.04</v>
      </c>
    </row>
    <row r="15" spans="2:7" hidden="1" outlineLevel="1" x14ac:dyDescent="0.3">
      <c r="B15" s="54" t="s">
        <v>437</v>
      </c>
      <c r="C15" s="54" t="s">
        <v>441</v>
      </c>
      <c r="D15" s="54" t="s">
        <v>444</v>
      </c>
      <c r="E15" s="175"/>
      <c r="F15" s="176">
        <v>-24611.45</v>
      </c>
      <c r="G15" s="176">
        <v>24611.45</v>
      </c>
    </row>
    <row r="16" spans="2:7" hidden="1" outlineLevel="1" x14ac:dyDescent="0.3">
      <c r="B16" s="51" t="s">
        <v>446</v>
      </c>
      <c r="C16" s="51"/>
      <c r="D16" s="51" t="s">
        <v>445</v>
      </c>
      <c r="E16" s="174"/>
      <c r="F16" s="173">
        <v>687038.15</v>
      </c>
      <c r="G16" s="173">
        <v>-687038.15</v>
      </c>
    </row>
    <row r="17" spans="2:7" hidden="1" outlineLevel="1" x14ac:dyDescent="0.3">
      <c r="B17" s="54" t="s">
        <v>446</v>
      </c>
      <c r="C17" s="54" t="s">
        <v>438</v>
      </c>
      <c r="D17" s="54" t="s">
        <v>447</v>
      </c>
      <c r="E17" s="175"/>
      <c r="F17" s="175"/>
      <c r="G17" s="176">
        <v>440923.66</v>
      </c>
    </row>
    <row r="18" spans="2:7" hidden="1" outlineLevel="1" x14ac:dyDescent="0.3">
      <c r="B18" s="51" t="s">
        <v>446</v>
      </c>
      <c r="C18" s="51" t="s">
        <v>440</v>
      </c>
      <c r="D18" s="51" t="s">
        <v>447</v>
      </c>
      <c r="E18" s="174"/>
      <c r="F18" s="174"/>
      <c r="G18" s="173">
        <v>221503.04</v>
      </c>
    </row>
    <row r="19" spans="2:7" hidden="1" outlineLevel="1" x14ac:dyDescent="0.3">
      <c r="B19" s="54" t="s">
        <v>446</v>
      </c>
      <c r="C19" s="54" t="s">
        <v>441</v>
      </c>
      <c r="D19" s="54" t="s">
        <v>447</v>
      </c>
      <c r="E19" s="175"/>
      <c r="F19" s="175"/>
      <c r="G19" s="176">
        <v>24611.45</v>
      </c>
    </row>
    <row r="20" spans="2:7" hidden="1" outlineLevel="1" x14ac:dyDescent="0.3">
      <c r="B20" s="51" t="s">
        <v>446</v>
      </c>
      <c r="C20" s="51" t="s">
        <v>438</v>
      </c>
      <c r="D20" s="51" t="s">
        <v>448</v>
      </c>
      <c r="E20" s="174"/>
      <c r="F20" s="173">
        <v>-398952.08</v>
      </c>
      <c r="G20" s="173">
        <v>398952.08</v>
      </c>
    </row>
    <row r="21" spans="2:7" hidden="1" outlineLevel="1" x14ac:dyDescent="0.3">
      <c r="B21" s="54" t="s">
        <v>446</v>
      </c>
      <c r="C21" s="54" t="s">
        <v>440</v>
      </c>
      <c r="D21" s="54" t="s">
        <v>449</v>
      </c>
      <c r="E21" s="175"/>
      <c r="F21" s="176">
        <v>-200276.8</v>
      </c>
      <c r="G21" s="176">
        <v>200276.8</v>
      </c>
    </row>
    <row r="22" spans="2:7" hidden="1" outlineLevel="1" x14ac:dyDescent="0.3">
      <c r="B22" s="51" t="s">
        <v>446</v>
      </c>
      <c r="C22" s="51" t="s">
        <v>441</v>
      </c>
      <c r="D22" s="51" t="s">
        <v>450</v>
      </c>
      <c r="E22" s="174"/>
      <c r="F22" s="173">
        <v>-22252.98</v>
      </c>
      <c r="G22" s="173">
        <v>22252.98</v>
      </c>
    </row>
    <row r="23" spans="2:7" hidden="1" outlineLevel="1" x14ac:dyDescent="0.3">
      <c r="B23" s="54" t="s">
        <v>452</v>
      </c>
      <c r="C23" s="54"/>
      <c r="D23" s="54" t="s">
        <v>451</v>
      </c>
      <c r="E23" s="175"/>
      <c r="F23" s="176">
        <v>621481.86</v>
      </c>
      <c r="G23" s="176">
        <v>-621481.86</v>
      </c>
    </row>
    <row r="24" spans="2:7" hidden="1" outlineLevel="1" x14ac:dyDescent="0.3">
      <c r="B24" s="51" t="s">
        <v>452</v>
      </c>
      <c r="C24" s="51" t="s">
        <v>438</v>
      </c>
      <c r="D24" s="51" t="s">
        <v>453</v>
      </c>
      <c r="E24" s="174"/>
      <c r="F24" s="174"/>
      <c r="G24" s="173">
        <v>398952.08</v>
      </c>
    </row>
    <row r="25" spans="2:7" hidden="1" outlineLevel="1" x14ac:dyDescent="0.3">
      <c r="B25" s="54" t="s">
        <v>452</v>
      </c>
      <c r="C25" s="54" t="s">
        <v>440</v>
      </c>
      <c r="D25" s="54" t="s">
        <v>453</v>
      </c>
      <c r="E25" s="175"/>
      <c r="F25" s="175"/>
      <c r="G25" s="176">
        <v>200276.8</v>
      </c>
    </row>
    <row r="26" spans="2:7" hidden="1" outlineLevel="1" x14ac:dyDescent="0.3">
      <c r="B26" s="51" t="s">
        <v>452</v>
      </c>
      <c r="C26" s="51" t="s">
        <v>441</v>
      </c>
      <c r="D26" s="51" t="s">
        <v>453</v>
      </c>
      <c r="E26" s="174"/>
      <c r="F26" s="174"/>
      <c r="G26" s="173">
        <v>22252.98</v>
      </c>
    </row>
    <row r="27" spans="2:7" hidden="1" outlineLevel="1" x14ac:dyDescent="0.3">
      <c r="B27" s="54" t="s">
        <v>452</v>
      </c>
      <c r="C27" s="54" t="s">
        <v>438</v>
      </c>
      <c r="D27" s="54" t="s">
        <v>454</v>
      </c>
      <c r="E27" s="175"/>
      <c r="F27" s="176">
        <v>-442351.27</v>
      </c>
      <c r="G27" s="176">
        <v>442351.27</v>
      </c>
    </row>
    <row r="28" spans="2:7" hidden="1" outlineLevel="1" x14ac:dyDescent="0.3">
      <c r="B28" s="51" t="s">
        <v>452</v>
      </c>
      <c r="C28" s="51" t="s">
        <v>440</v>
      </c>
      <c r="D28" s="51" t="s">
        <v>455</v>
      </c>
      <c r="E28" s="174"/>
      <c r="F28" s="173">
        <v>-221931.32</v>
      </c>
      <c r="G28" s="173">
        <v>221931.32</v>
      </c>
    </row>
    <row r="29" spans="2:7" hidden="1" outlineLevel="1" x14ac:dyDescent="0.3">
      <c r="B29" s="54" t="s">
        <v>452</v>
      </c>
      <c r="C29" s="54" t="s">
        <v>441</v>
      </c>
      <c r="D29" s="54" t="s">
        <v>456</v>
      </c>
      <c r="E29" s="175"/>
      <c r="F29" s="176">
        <v>-24659.040000000001</v>
      </c>
      <c r="G29" s="176">
        <v>24659.040000000001</v>
      </c>
    </row>
    <row r="30" spans="2:7" hidden="1" outlineLevel="1" x14ac:dyDescent="0.3">
      <c r="B30" s="51" t="s">
        <v>458</v>
      </c>
      <c r="C30" s="51"/>
      <c r="D30" s="51" t="s">
        <v>457</v>
      </c>
      <c r="E30" s="174"/>
      <c r="F30" s="173">
        <v>688941.63</v>
      </c>
      <c r="G30" s="173">
        <v>-688941.63</v>
      </c>
    </row>
    <row r="31" spans="2:7" hidden="1" outlineLevel="1" x14ac:dyDescent="0.3">
      <c r="B31" s="54" t="s">
        <v>458</v>
      </c>
      <c r="C31" s="54" t="s">
        <v>438</v>
      </c>
      <c r="D31" s="54" t="s">
        <v>459</v>
      </c>
      <c r="E31" s="175"/>
      <c r="F31" s="175"/>
      <c r="G31" s="176">
        <v>442351.27</v>
      </c>
    </row>
    <row r="32" spans="2:7" hidden="1" outlineLevel="1" x14ac:dyDescent="0.3">
      <c r="B32" s="51" t="s">
        <v>458</v>
      </c>
      <c r="C32" s="51" t="s">
        <v>440</v>
      </c>
      <c r="D32" s="51" t="s">
        <v>459</v>
      </c>
      <c r="E32" s="174"/>
      <c r="F32" s="174"/>
      <c r="G32" s="173">
        <v>221931.32</v>
      </c>
    </row>
    <row r="33" spans="2:7" hidden="1" outlineLevel="1" x14ac:dyDescent="0.3">
      <c r="B33" s="54" t="s">
        <v>458</v>
      </c>
      <c r="C33" s="54" t="s">
        <v>441</v>
      </c>
      <c r="D33" s="54" t="s">
        <v>459</v>
      </c>
      <c r="E33" s="175"/>
      <c r="F33" s="175"/>
      <c r="G33" s="176">
        <v>24659.040000000001</v>
      </c>
    </row>
    <row r="34" spans="2:7" hidden="1" outlineLevel="1" x14ac:dyDescent="0.3">
      <c r="B34" s="51" t="s">
        <v>458</v>
      </c>
      <c r="C34" s="51" t="s">
        <v>438</v>
      </c>
      <c r="D34" s="51" t="s">
        <v>460</v>
      </c>
      <c r="E34" s="174"/>
      <c r="F34" s="173">
        <v>-426354.98</v>
      </c>
      <c r="G34" s="173">
        <v>426354.98</v>
      </c>
    </row>
    <row r="35" spans="2:7" hidden="1" outlineLevel="1" x14ac:dyDescent="0.3">
      <c r="B35" s="54" t="s">
        <v>458</v>
      </c>
      <c r="C35" s="54" t="s">
        <v>440</v>
      </c>
      <c r="D35" s="54" t="s">
        <v>461</v>
      </c>
      <c r="E35" s="175"/>
      <c r="F35" s="176">
        <v>-214254.16</v>
      </c>
      <c r="G35" s="176">
        <v>214254.16</v>
      </c>
    </row>
    <row r="36" spans="2:7" hidden="1" outlineLevel="1" x14ac:dyDescent="0.3">
      <c r="B36" s="51" t="s">
        <v>458</v>
      </c>
      <c r="C36" s="51" t="s">
        <v>441</v>
      </c>
      <c r="D36" s="51" t="s">
        <v>462</v>
      </c>
      <c r="E36" s="174"/>
      <c r="F36" s="173">
        <v>-23806.02</v>
      </c>
      <c r="G36" s="173">
        <v>23806.02</v>
      </c>
    </row>
    <row r="37" spans="2:7" hidden="1" outlineLevel="1" x14ac:dyDescent="0.3">
      <c r="B37" s="54" t="s">
        <v>464</v>
      </c>
      <c r="C37" s="54"/>
      <c r="D37" s="54" t="s">
        <v>463</v>
      </c>
      <c r="E37" s="175"/>
      <c r="F37" s="176">
        <v>664415.16</v>
      </c>
      <c r="G37" s="176">
        <v>-664415.16</v>
      </c>
    </row>
    <row r="38" spans="2:7" hidden="1" outlineLevel="1" x14ac:dyDescent="0.3">
      <c r="B38" s="51" t="s">
        <v>464</v>
      </c>
      <c r="C38" s="51" t="s">
        <v>438</v>
      </c>
      <c r="D38" s="51" t="s">
        <v>465</v>
      </c>
      <c r="E38" s="174"/>
      <c r="F38" s="174"/>
      <c r="G38" s="173">
        <v>426354.92</v>
      </c>
    </row>
    <row r="39" spans="2:7" hidden="1" outlineLevel="1" x14ac:dyDescent="0.3">
      <c r="B39" s="54" t="s">
        <v>464</v>
      </c>
      <c r="C39" s="54" t="s">
        <v>440</v>
      </c>
      <c r="D39" s="54" t="s">
        <v>465</v>
      </c>
      <c r="E39" s="175"/>
      <c r="F39" s="175"/>
      <c r="G39" s="176">
        <v>214254.16</v>
      </c>
    </row>
    <row r="40" spans="2:7" hidden="1" outlineLevel="1" x14ac:dyDescent="0.3">
      <c r="B40" s="51" t="s">
        <v>464</v>
      </c>
      <c r="C40" s="51" t="s">
        <v>441</v>
      </c>
      <c r="D40" s="51" t="s">
        <v>465</v>
      </c>
      <c r="E40" s="174"/>
      <c r="F40" s="174"/>
      <c r="G40" s="173">
        <v>23806.02</v>
      </c>
    </row>
    <row r="41" spans="2:7" hidden="1" outlineLevel="1" x14ac:dyDescent="0.3">
      <c r="B41" s="54" t="s">
        <v>464</v>
      </c>
      <c r="C41" s="54" t="s">
        <v>438</v>
      </c>
      <c r="D41" s="54" t="s">
        <v>466</v>
      </c>
      <c r="E41" s="175"/>
      <c r="F41" s="176">
        <v>-443005.6</v>
      </c>
      <c r="G41" s="176">
        <v>443005.6</v>
      </c>
    </row>
    <row r="42" spans="2:7" hidden="1" outlineLevel="1" x14ac:dyDescent="0.3">
      <c r="B42" s="51" t="s">
        <v>464</v>
      </c>
      <c r="C42" s="51" t="s">
        <v>440</v>
      </c>
      <c r="D42" s="51" t="s">
        <v>467</v>
      </c>
      <c r="E42" s="174"/>
      <c r="F42" s="173">
        <v>-222127.62</v>
      </c>
      <c r="G42" s="173">
        <v>222127.62</v>
      </c>
    </row>
    <row r="43" spans="2:7" hidden="1" outlineLevel="1" x14ac:dyDescent="0.3">
      <c r="B43" s="54" t="s">
        <v>464</v>
      </c>
      <c r="C43" s="54" t="s">
        <v>441</v>
      </c>
      <c r="D43" s="54" t="s">
        <v>468</v>
      </c>
      <c r="E43" s="175"/>
      <c r="F43" s="176">
        <v>-24680.85</v>
      </c>
      <c r="G43" s="176">
        <v>24680.85</v>
      </c>
    </row>
    <row r="44" spans="2:7" hidden="1" outlineLevel="1" x14ac:dyDescent="0.3">
      <c r="B44" s="51" t="s">
        <v>470</v>
      </c>
      <c r="C44" s="51"/>
      <c r="D44" s="51" t="s">
        <v>469</v>
      </c>
      <c r="E44" s="174"/>
      <c r="F44" s="173">
        <v>689814.07</v>
      </c>
      <c r="G44" s="173">
        <v>-689814.07</v>
      </c>
    </row>
    <row r="45" spans="2:7" hidden="1" outlineLevel="1" x14ac:dyDescent="0.3">
      <c r="B45" s="54" t="s">
        <v>470</v>
      </c>
      <c r="C45" s="54" t="s">
        <v>438</v>
      </c>
      <c r="D45" s="54" t="s">
        <v>471</v>
      </c>
      <c r="E45" s="175"/>
      <c r="F45" s="175"/>
      <c r="G45" s="176">
        <v>443005.6</v>
      </c>
    </row>
    <row r="46" spans="2:7" hidden="1" outlineLevel="1" x14ac:dyDescent="0.3">
      <c r="B46" s="51" t="s">
        <v>470</v>
      </c>
      <c r="C46" s="51" t="s">
        <v>440</v>
      </c>
      <c r="D46" s="51" t="s">
        <v>471</v>
      </c>
      <c r="E46" s="174"/>
      <c r="F46" s="174"/>
      <c r="G46" s="173">
        <v>222127.62</v>
      </c>
    </row>
    <row r="47" spans="2:7" hidden="1" outlineLevel="1" x14ac:dyDescent="0.3">
      <c r="B47" s="54" t="s">
        <v>470</v>
      </c>
      <c r="C47" s="54" t="s">
        <v>441</v>
      </c>
      <c r="D47" s="54" t="s">
        <v>471</v>
      </c>
      <c r="E47" s="175"/>
      <c r="F47" s="175"/>
      <c r="G47" s="176">
        <v>24680.85</v>
      </c>
    </row>
    <row r="48" spans="2:7" hidden="1" outlineLevel="1" x14ac:dyDescent="0.3">
      <c r="B48" s="51" t="s">
        <v>470</v>
      </c>
      <c r="C48" s="51"/>
      <c r="D48" s="51" t="s">
        <v>472</v>
      </c>
      <c r="E48" s="174"/>
      <c r="F48" s="173">
        <v>665950.17000000004</v>
      </c>
      <c r="G48" s="173">
        <v>-665950.17000000004</v>
      </c>
    </row>
    <row r="49" spans="2:7" hidden="1" outlineLevel="1" x14ac:dyDescent="0.3">
      <c r="B49" s="54" t="s">
        <v>470</v>
      </c>
      <c r="C49" s="54" t="s">
        <v>438</v>
      </c>
      <c r="D49" s="54" t="s">
        <v>473</v>
      </c>
      <c r="E49" s="175"/>
      <c r="F49" s="176">
        <v>-427506.22</v>
      </c>
      <c r="G49" s="176">
        <v>427506.22</v>
      </c>
    </row>
    <row r="50" spans="2:7" hidden="1" outlineLevel="1" x14ac:dyDescent="0.3">
      <c r="B50" s="51" t="s">
        <v>470</v>
      </c>
      <c r="C50" s="51" t="s">
        <v>440</v>
      </c>
      <c r="D50" s="51" t="s">
        <v>474</v>
      </c>
      <c r="E50" s="174"/>
      <c r="F50" s="173">
        <v>-214599.55</v>
      </c>
      <c r="G50" s="173">
        <v>214599.55</v>
      </c>
    </row>
    <row r="51" spans="2:7" hidden="1" outlineLevel="1" x14ac:dyDescent="0.3">
      <c r="B51" s="54" t="s">
        <v>470</v>
      </c>
      <c r="C51" s="54" t="s">
        <v>441</v>
      </c>
      <c r="D51" s="54" t="s">
        <v>475</v>
      </c>
      <c r="E51" s="175"/>
      <c r="F51" s="176">
        <v>-23844.400000000001</v>
      </c>
      <c r="G51" s="176">
        <v>23844.400000000001</v>
      </c>
    </row>
    <row r="52" spans="2:7" hidden="1" outlineLevel="1" x14ac:dyDescent="0.3">
      <c r="B52" s="51" t="s">
        <v>477</v>
      </c>
      <c r="C52" s="51" t="s">
        <v>438</v>
      </c>
      <c r="D52" s="51" t="s">
        <v>476</v>
      </c>
      <c r="E52" s="174"/>
      <c r="F52" s="174"/>
      <c r="G52" s="173">
        <v>427506.22</v>
      </c>
    </row>
    <row r="53" spans="2:7" hidden="1" outlineLevel="1" x14ac:dyDescent="0.3">
      <c r="B53" s="54" t="s">
        <v>477</v>
      </c>
      <c r="C53" s="54" t="s">
        <v>440</v>
      </c>
      <c r="D53" s="54" t="s">
        <v>476</v>
      </c>
      <c r="E53" s="175"/>
      <c r="F53" s="175"/>
      <c r="G53" s="176">
        <v>214599.55</v>
      </c>
    </row>
    <row r="54" spans="2:7" hidden="1" outlineLevel="1" x14ac:dyDescent="0.3">
      <c r="B54" s="51" t="s">
        <v>477</v>
      </c>
      <c r="C54" s="51" t="s">
        <v>441</v>
      </c>
      <c r="D54" s="51" t="s">
        <v>476</v>
      </c>
      <c r="E54" s="174"/>
      <c r="F54" s="174"/>
      <c r="G54" s="173">
        <v>23844.400000000001</v>
      </c>
    </row>
    <row r="55" spans="2:7" hidden="1" outlineLevel="1" x14ac:dyDescent="0.3">
      <c r="B55" s="54" t="s">
        <v>477</v>
      </c>
      <c r="C55" s="54" t="s">
        <v>438</v>
      </c>
      <c r="D55" s="54" t="s">
        <v>478</v>
      </c>
      <c r="E55" s="175"/>
      <c r="F55" s="176">
        <v>-443362.5</v>
      </c>
      <c r="G55" s="176">
        <v>443362.5</v>
      </c>
    </row>
    <row r="56" spans="2:7" hidden="1" outlineLevel="1" x14ac:dyDescent="0.3">
      <c r="B56" s="51" t="s">
        <v>477</v>
      </c>
      <c r="C56" s="51" t="s">
        <v>440</v>
      </c>
      <c r="D56" s="51" t="s">
        <v>479</v>
      </c>
      <c r="E56" s="174"/>
      <c r="F56" s="173">
        <v>-222234.69</v>
      </c>
      <c r="G56" s="173">
        <v>222234.69</v>
      </c>
    </row>
    <row r="57" spans="2:7" hidden="1" outlineLevel="1" x14ac:dyDescent="0.3">
      <c r="B57" s="54" t="s">
        <v>477</v>
      </c>
      <c r="C57" s="54" t="s">
        <v>441</v>
      </c>
      <c r="D57" s="54" t="s">
        <v>480</v>
      </c>
      <c r="E57" s="175"/>
      <c r="F57" s="176">
        <v>-24692.74</v>
      </c>
      <c r="G57" s="176">
        <v>24692.74</v>
      </c>
    </row>
    <row r="58" spans="2:7" hidden="1" outlineLevel="1" x14ac:dyDescent="0.3">
      <c r="B58" s="51" t="s">
        <v>482</v>
      </c>
      <c r="C58" s="51"/>
      <c r="D58" s="51" t="s">
        <v>481</v>
      </c>
      <c r="E58" s="174"/>
      <c r="F58" s="173">
        <v>690289.93</v>
      </c>
      <c r="G58" s="173">
        <v>-690289.93</v>
      </c>
    </row>
    <row r="59" spans="2:7" hidden="1" outlineLevel="1" x14ac:dyDescent="0.3">
      <c r="B59" s="54" t="s">
        <v>482</v>
      </c>
      <c r="C59" s="54" t="s">
        <v>438</v>
      </c>
      <c r="D59" s="54" t="s">
        <v>483</v>
      </c>
      <c r="E59" s="175"/>
      <c r="F59" s="175"/>
      <c r="G59" s="176">
        <v>443362.5</v>
      </c>
    </row>
    <row r="60" spans="2:7" hidden="1" outlineLevel="1" x14ac:dyDescent="0.3">
      <c r="B60" s="51" t="s">
        <v>482</v>
      </c>
      <c r="C60" s="51" t="s">
        <v>440</v>
      </c>
      <c r="D60" s="51" t="s">
        <v>483</v>
      </c>
      <c r="E60" s="174"/>
      <c r="F60" s="174"/>
      <c r="G60" s="173">
        <v>222234.69</v>
      </c>
    </row>
    <row r="61" spans="2:7" hidden="1" outlineLevel="1" x14ac:dyDescent="0.3">
      <c r="B61" s="54" t="s">
        <v>482</v>
      </c>
      <c r="C61" s="54" t="s">
        <v>441</v>
      </c>
      <c r="D61" s="54" t="s">
        <v>483</v>
      </c>
      <c r="E61" s="175"/>
      <c r="F61" s="175"/>
      <c r="G61" s="176">
        <v>24692.74</v>
      </c>
    </row>
    <row r="62" spans="2:7" hidden="1" outlineLevel="1" x14ac:dyDescent="0.3">
      <c r="B62" s="51" t="s">
        <v>482</v>
      </c>
      <c r="C62" s="51"/>
      <c r="D62" s="51" t="s">
        <v>484</v>
      </c>
      <c r="E62" s="174"/>
      <c r="F62" s="173">
        <v>691796.86</v>
      </c>
      <c r="G62" s="173">
        <v>-691796.86</v>
      </c>
    </row>
    <row r="63" spans="2:7" hidden="1" outlineLevel="1" x14ac:dyDescent="0.3">
      <c r="B63" s="54" t="s">
        <v>482</v>
      </c>
      <c r="C63" s="54" t="s">
        <v>438</v>
      </c>
      <c r="D63" s="54" t="s">
        <v>485</v>
      </c>
      <c r="E63" s="175"/>
      <c r="F63" s="176">
        <v>-444492.69</v>
      </c>
      <c r="G63" s="176">
        <v>444492.69</v>
      </c>
    </row>
    <row r="64" spans="2:7" hidden="1" outlineLevel="1" x14ac:dyDescent="0.3">
      <c r="B64" s="51" t="s">
        <v>482</v>
      </c>
      <c r="C64" s="51" t="s">
        <v>440</v>
      </c>
      <c r="D64" s="51" t="s">
        <v>486</v>
      </c>
      <c r="E64" s="174"/>
      <c r="F64" s="173">
        <v>-222573.75</v>
      </c>
      <c r="G64" s="173">
        <v>222573.75</v>
      </c>
    </row>
    <row r="65" spans="2:7" hidden="1" outlineLevel="1" x14ac:dyDescent="0.3">
      <c r="B65" s="54" t="s">
        <v>482</v>
      </c>
      <c r="C65" s="54" t="s">
        <v>441</v>
      </c>
      <c r="D65" s="54" t="s">
        <v>487</v>
      </c>
      <c r="E65" s="175"/>
      <c r="F65" s="176">
        <v>-24730.42</v>
      </c>
      <c r="G65" s="176">
        <v>24730.42</v>
      </c>
    </row>
    <row r="66" spans="2:7" hidden="1" outlineLevel="1" x14ac:dyDescent="0.3">
      <c r="B66" s="51" t="s">
        <v>489</v>
      </c>
      <c r="C66" s="51" t="s">
        <v>438</v>
      </c>
      <c r="D66" s="51" t="s">
        <v>488</v>
      </c>
      <c r="E66" s="174"/>
      <c r="F66" s="174"/>
      <c r="G66" s="173">
        <v>444492.69</v>
      </c>
    </row>
    <row r="67" spans="2:7" hidden="1" outlineLevel="1" x14ac:dyDescent="0.3">
      <c r="B67" s="54" t="s">
        <v>489</v>
      </c>
      <c r="C67" s="54" t="s">
        <v>440</v>
      </c>
      <c r="D67" s="54" t="s">
        <v>488</v>
      </c>
      <c r="E67" s="175"/>
      <c r="F67" s="175"/>
      <c r="G67" s="176">
        <v>222573.75</v>
      </c>
    </row>
    <row r="68" spans="2:7" hidden="1" outlineLevel="1" x14ac:dyDescent="0.3">
      <c r="B68" s="51" t="s">
        <v>489</v>
      </c>
      <c r="C68" s="51" t="s">
        <v>441</v>
      </c>
      <c r="D68" s="51" t="s">
        <v>488</v>
      </c>
      <c r="E68" s="174"/>
      <c r="F68" s="174"/>
      <c r="G68" s="173">
        <v>24730.42</v>
      </c>
    </row>
    <row r="69" spans="2:7" hidden="1" outlineLevel="1" x14ac:dyDescent="0.3">
      <c r="B69" s="54" t="s">
        <v>489</v>
      </c>
      <c r="C69" s="54" t="s">
        <v>438</v>
      </c>
      <c r="D69" s="54" t="s">
        <v>490</v>
      </c>
      <c r="E69" s="175"/>
      <c r="F69" s="176">
        <v>-420655.98</v>
      </c>
      <c r="G69" s="176">
        <v>420655.98</v>
      </c>
    </row>
    <row r="70" spans="2:7" hidden="1" outlineLevel="1" x14ac:dyDescent="0.3">
      <c r="B70" s="51" t="s">
        <v>489</v>
      </c>
      <c r="C70" s="51" t="s">
        <v>440</v>
      </c>
      <c r="D70" s="51" t="s">
        <v>491</v>
      </c>
      <c r="E70" s="174"/>
      <c r="F70" s="173">
        <v>-212544.48</v>
      </c>
      <c r="G70" s="173">
        <v>212544.48</v>
      </c>
    </row>
    <row r="71" spans="2:7" hidden="1" outlineLevel="1" x14ac:dyDescent="0.3">
      <c r="B71" s="54" t="s">
        <v>489</v>
      </c>
      <c r="C71" s="54" t="s">
        <v>441</v>
      </c>
      <c r="D71" s="54" t="s">
        <v>492</v>
      </c>
      <c r="E71" s="175"/>
      <c r="F71" s="176">
        <v>-23616.05</v>
      </c>
      <c r="G71" s="176">
        <v>23616.05</v>
      </c>
    </row>
    <row r="72" spans="2:7" hidden="1" outlineLevel="1" x14ac:dyDescent="0.3">
      <c r="B72" s="51" t="s">
        <v>494</v>
      </c>
      <c r="C72" s="51"/>
      <c r="D72" s="51" t="s">
        <v>493</v>
      </c>
      <c r="E72" s="174"/>
      <c r="F72" s="173">
        <v>656816.51</v>
      </c>
      <c r="G72" s="173">
        <v>-656816.51</v>
      </c>
    </row>
    <row r="73" spans="2:7" hidden="1" outlineLevel="1" x14ac:dyDescent="0.3">
      <c r="B73" s="54" t="s">
        <v>494</v>
      </c>
      <c r="C73" s="54" t="s">
        <v>438</v>
      </c>
      <c r="D73" s="54" t="s">
        <v>495</v>
      </c>
      <c r="E73" s="175"/>
      <c r="F73" s="175"/>
      <c r="G73" s="176">
        <v>420655.98</v>
      </c>
    </row>
    <row r="74" spans="2:7" hidden="1" outlineLevel="1" x14ac:dyDescent="0.3">
      <c r="B74" s="51" t="s">
        <v>494</v>
      </c>
      <c r="C74" s="51" t="s">
        <v>440</v>
      </c>
      <c r="D74" s="51" t="s">
        <v>495</v>
      </c>
      <c r="E74" s="174"/>
      <c r="F74" s="174"/>
      <c r="G74" s="173">
        <v>212544.48</v>
      </c>
    </row>
    <row r="75" spans="2:7" hidden="1" outlineLevel="1" x14ac:dyDescent="0.3">
      <c r="B75" s="54" t="s">
        <v>494</v>
      </c>
      <c r="C75" s="54" t="s">
        <v>441</v>
      </c>
      <c r="D75" s="54" t="s">
        <v>495</v>
      </c>
      <c r="E75" s="175"/>
      <c r="F75" s="175"/>
      <c r="G75" s="176">
        <v>23616.05</v>
      </c>
    </row>
    <row r="76" spans="2:7" hidden="1" outlineLevel="1" x14ac:dyDescent="0.3">
      <c r="B76" s="51" t="s">
        <v>494</v>
      </c>
      <c r="C76" s="51" t="s">
        <v>438</v>
      </c>
      <c r="D76" s="51" t="s">
        <v>496</v>
      </c>
      <c r="E76" s="174"/>
      <c r="F76" s="173">
        <v>-427896.67</v>
      </c>
      <c r="G76" s="173">
        <v>427896.67</v>
      </c>
    </row>
    <row r="77" spans="2:7" hidden="1" outlineLevel="1" x14ac:dyDescent="0.3">
      <c r="B77" s="54" t="s">
        <v>494</v>
      </c>
      <c r="C77" s="54" t="s">
        <v>440</v>
      </c>
      <c r="D77" s="54" t="s">
        <v>497</v>
      </c>
      <c r="E77" s="175"/>
      <c r="F77" s="176">
        <v>-217594.94</v>
      </c>
      <c r="G77" s="176">
        <v>217594.94</v>
      </c>
    </row>
    <row r="78" spans="2:7" hidden="1" outlineLevel="1" x14ac:dyDescent="0.3">
      <c r="B78" s="51" t="s">
        <v>494</v>
      </c>
      <c r="C78" s="51" t="s">
        <v>441</v>
      </c>
      <c r="D78" s="51" t="s">
        <v>498</v>
      </c>
      <c r="E78" s="174"/>
      <c r="F78" s="173">
        <v>-24177.22</v>
      </c>
      <c r="G78" s="173">
        <v>24177.22</v>
      </c>
    </row>
    <row r="79" spans="2:7" hidden="1" outlineLevel="1" x14ac:dyDescent="0.3">
      <c r="B79" s="54" t="s">
        <v>500</v>
      </c>
      <c r="C79" s="54"/>
      <c r="D79" s="54" t="s">
        <v>499</v>
      </c>
      <c r="E79" s="175"/>
      <c r="F79" s="176">
        <v>669668.82999999996</v>
      </c>
      <c r="G79" s="176">
        <v>-669668.82999999996</v>
      </c>
    </row>
    <row r="80" spans="2:7" hidden="1" outlineLevel="1" x14ac:dyDescent="0.3">
      <c r="B80" s="51" t="s">
        <v>500</v>
      </c>
      <c r="C80" s="51" t="s">
        <v>438</v>
      </c>
      <c r="D80" s="51" t="s">
        <v>501</v>
      </c>
      <c r="E80" s="174"/>
      <c r="F80" s="174"/>
      <c r="G80" s="173">
        <v>427896.67</v>
      </c>
    </row>
    <row r="81" spans="2:7" hidden="1" outlineLevel="1" x14ac:dyDescent="0.3">
      <c r="B81" s="54" t="s">
        <v>500</v>
      </c>
      <c r="C81" s="54" t="s">
        <v>440</v>
      </c>
      <c r="D81" s="54" t="s">
        <v>501</v>
      </c>
      <c r="E81" s="175"/>
      <c r="F81" s="175"/>
      <c r="G81" s="176">
        <v>217594.94</v>
      </c>
    </row>
    <row r="82" spans="2:7" hidden="1" outlineLevel="1" x14ac:dyDescent="0.3">
      <c r="B82" s="51" t="s">
        <v>500</v>
      </c>
      <c r="C82" s="51" t="s">
        <v>441</v>
      </c>
      <c r="D82" s="51" t="s">
        <v>501</v>
      </c>
      <c r="E82" s="174"/>
      <c r="F82" s="174"/>
      <c r="G82" s="173">
        <v>24177.22</v>
      </c>
    </row>
    <row r="83" spans="2:7" hidden="1" outlineLevel="1" x14ac:dyDescent="0.3">
      <c r="B83" s="54" t="s">
        <v>500</v>
      </c>
      <c r="C83" s="54" t="s">
        <v>438</v>
      </c>
      <c r="D83" s="54" t="s">
        <v>502</v>
      </c>
      <c r="E83" s="175"/>
      <c r="F83" s="176">
        <v>-407934.08</v>
      </c>
      <c r="G83" s="176">
        <v>407934.08</v>
      </c>
    </row>
    <row r="84" spans="2:7" hidden="1" outlineLevel="1" x14ac:dyDescent="0.3">
      <c r="B84" s="51" t="s">
        <v>500</v>
      </c>
      <c r="C84" s="51" t="s">
        <v>440</v>
      </c>
      <c r="D84" s="51" t="s">
        <v>503</v>
      </c>
      <c r="E84" s="174"/>
      <c r="F84" s="173">
        <v>-208727.91</v>
      </c>
      <c r="G84" s="173">
        <v>208727.91</v>
      </c>
    </row>
    <row r="85" spans="2:7" hidden="1" outlineLevel="1" x14ac:dyDescent="0.3">
      <c r="B85" s="54" t="s">
        <v>500</v>
      </c>
      <c r="C85" s="54" t="s">
        <v>441</v>
      </c>
      <c r="D85" s="54" t="s">
        <v>504</v>
      </c>
      <c r="E85" s="175"/>
      <c r="F85" s="176">
        <v>-23191.99</v>
      </c>
      <c r="G85" s="176">
        <v>23191.99</v>
      </c>
    </row>
    <row r="86" spans="2:7" hidden="1" outlineLevel="1" x14ac:dyDescent="0.3">
      <c r="B86" s="51" t="s">
        <v>506</v>
      </c>
      <c r="C86" s="51"/>
      <c r="D86" s="51" t="s">
        <v>505</v>
      </c>
      <c r="E86" s="174"/>
      <c r="F86" s="173">
        <v>639853.98</v>
      </c>
      <c r="G86" s="173">
        <v>-639853.98</v>
      </c>
    </row>
    <row r="87" spans="2:7" hidden="1" outlineLevel="1" x14ac:dyDescent="0.3">
      <c r="B87" s="54" t="s">
        <v>506</v>
      </c>
      <c r="C87" s="54" t="s">
        <v>438</v>
      </c>
      <c r="D87" s="54" t="s">
        <v>439</v>
      </c>
      <c r="E87" s="175"/>
      <c r="F87" s="175"/>
      <c r="G87" s="176">
        <v>407934.08</v>
      </c>
    </row>
    <row r="88" spans="2:7" hidden="1" outlineLevel="1" x14ac:dyDescent="0.3">
      <c r="B88" s="51" t="s">
        <v>506</v>
      </c>
      <c r="C88" s="51" t="s">
        <v>440</v>
      </c>
      <c r="D88" s="51" t="s">
        <v>439</v>
      </c>
      <c r="E88" s="174"/>
      <c r="F88" s="174"/>
      <c r="G88" s="173">
        <v>208727.91</v>
      </c>
    </row>
    <row r="89" spans="2:7" hidden="1" outlineLevel="1" x14ac:dyDescent="0.3">
      <c r="B89" s="54" t="s">
        <v>506</v>
      </c>
      <c r="C89" s="54" t="s">
        <v>441</v>
      </c>
      <c r="D89" s="54" t="s">
        <v>439</v>
      </c>
      <c r="E89" s="175"/>
      <c r="F89" s="175"/>
      <c r="G89" s="176">
        <v>23191.99</v>
      </c>
    </row>
    <row r="90" spans="2:7" hidden="1" outlineLevel="1" x14ac:dyDescent="0.3">
      <c r="B90" s="51" t="s">
        <v>506</v>
      </c>
      <c r="C90" s="51" t="s">
        <v>438</v>
      </c>
      <c r="D90" s="51" t="s">
        <v>507</v>
      </c>
      <c r="E90" s="174"/>
      <c r="F90" s="173">
        <v>-409694.58</v>
      </c>
      <c r="G90" s="173">
        <v>409694.58</v>
      </c>
    </row>
    <row r="91" spans="2:7" hidden="1" outlineLevel="1" x14ac:dyDescent="0.3">
      <c r="B91" s="54" t="s">
        <v>506</v>
      </c>
      <c r="C91" s="54" t="s">
        <v>440</v>
      </c>
      <c r="D91" s="54" t="s">
        <v>508</v>
      </c>
      <c r="E91" s="175"/>
      <c r="F91" s="176">
        <v>-212134.31</v>
      </c>
      <c r="G91" s="176">
        <v>212134.31</v>
      </c>
    </row>
    <row r="92" spans="2:7" hidden="1" outlineLevel="1" x14ac:dyDescent="0.3">
      <c r="B92" s="51" t="s">
        <v>506</v>
      </c>
      <c r="C92" s="51" t="s">
        <v>441</v>
      </c>
      <c r="D92" s="51" t="s">
        <v>509</v>
      </c>
      <c r="E92" s="174"/>
      <c r="F92" s="173">
        <v>-23570.48</v>
      </c>
      <c r="G92" s="173">
        <v>23570.48</v>
      </c>
    </row>
    <row r="93" spans="2:7" collapsed="1" x14ac:dyDescent="0.3">
      <c r="B93" s="54" t="s">
        <v>511</v>
      </c>
      <c r="C93" s="54"/>
      <c r="D93" s="54" t="s">
        <v>510</v>
      </c>
      <c r="E93" s="175"/>
      <c r="F93" s="176">
        <v>645399.37</v>
      </c>
      <c r="G93" s="176">
        <v>-645399.37</v>
      </c>
    </row>
    <row r="94" spans="2:7" x14ac:dyDescent="0.3">
      <c r="B94" s="51" t="s">
        <v>511</v>
      </c>
      <c r="C94" s="51" t="s">
        <v>438</v>
      </c>
      <c r="D94" s="51" t="s">
        <v>447</v>
      </c>
      <c r="E94" s="174"/>
      <c r="F94" s="174"/>
      <c r="G94" s="173">
        <v>409694.58</v>
      </c>
    </row>
    <row r="95" spans="2:7" x14ac:dyDescent="0.3">
      <c r="B95" s="54" t="s">
        <v>511</v>
      </c>
      <c r="C95" s="54" t="s">
        <v>440</v>
      </c>
      <c r="D95" s="54" t="s">
        <v>447</v>
      </c>
      <c r="E95" s="175"/>
      <c r="F95" s="175"/>
      <c r="G95" s="176">
        <v>212134.31</v>
      </c>
    </row>
    <row r="96" spans="2:7" x14ac:dyDescent="0.3">
      <c r="B96" s="51" t="s">
        <v>511</v>
      </c>
      <c r="C96" s="51" t="s">
        <v>441</v>
      </c>
      <c r="D96" s="51" t="s">
        <v>447</v>
      </c>
      <c r="E96" s="174"/>
      <c r="F96" s="174"/>
      <c r="G96" s="173">
        <v>23570.48</v>
      </c>
    </row>
    <row r="97" spans="2:7" x14ac:dyDescent="0.3">
      <c r="B97" s="54" t="s">
        <v>511</v>
      </c>
      <c r="C97" s="54" t="s">
        <v>438</v>
      </c>
      <c r="D97" s="54" t="s">
        <v>442</v>
      </c>
      <c r="E97" s="175"/>
      <c r="F97" s="176">
        <v>-403805.67</v>
      </c>
      <c r="G97" s="176">
        <v>403805.67</v>
      </c>
    </row>
    <row r="98" spans="2:7" x14ac:dyDescent="0.3">
      <c r="B98" s="51" t="s">
        <v>511</v>
      </c>
      <c r="C98" s="51" t="s">
        <v>440</v>
      </c>
      <c r="D98" s="51" t="s">
        <v>443</v>
      </c>
      <c r="E98" s="174"/>
      <c r="F98" s="173">
        <v>-210367.64</v>
      </c>
      <c r="G98" s="173">
        <v>210367.64</v>
      </c>
    </row>
    <row r="99" spans="2:7" x14ac:dyDescent="0.3">
      <c r="B99" s="54" t="s">
        <v>511</v>
      </c>
      <c r="C99" s="54" t="s">
        <v>441</v>
      </c>
      <c r="D99" s="54" t="s">
        <v>444</v>
      </c>
      <c r="E99" s="175"/>
      <c r="F99" s="176">
        <v>-23374.18</v>
      </c>
      <c r="G99" s="176">
        <v>23374.18</v>
      </c>
    </row>
    <row r="100" spans="2:7" ht="15" thickBot="1" x14ac:dyDescent="0.35"/>
    <row r="101" spans="2:7" x14ac:dyDescent="0.3">
      <c r="B101" s="168" t="s">
        <v>34</v>
      </c>
      <c r="C101" s="169"/>
      <c r="D101" s="168"/>
      <c r="E101" s="114">
        <f>SUM(E8:E100)</f>
        <v>-92104195.170000002</v>
      </c>
      <c r="F101" s="114">
        <f t="shared" ref="F101" si="0">SUM(F8:F100)</f>
        <v>-637547.48999999987</v>
      </c>
      <c r="G101" s="114">
        <f>SUM(G93:G99)</f>
        <v>637547.49000000011</v>
      </c>
    </row>
    <row r="102" spans="2:7" x14ac:dyDescent="0.3">
      <c r="B102" s="111" t="s">
        <v>35</v>
      </c>
      <c r="C102" s="112"/>
      <c r="D102" s="111"/>
      <c r="E102" s="88">
        <f>VLOOKUP(E6,'Trial Balance'!$A:$F,6,0)</f>
        <v>-92104195.170000002</v>
      </c>
      <c r="F102" s="88">
        <f>VLOOKUP(F6,'Trial Balance'!$A:$F,6,0)</f>
        <v>-645399.37</v>
      </c>
      <c r="G102" s="88">
        <f>VLOOKUP(G6,'Trial Balance'!$A:$F,6,0)</f>
        <v>645399.37</v>
      </c>
    </row>
    <row r="103" spans="2:7" x14ac:dyDescent="0.3">
      <c r="B103" s="86" t="s">
        <v>36</v>
      </c>
      <c r="C103" s="87"/>
      <c r="D103" s="118"/>
      <c r="E103" s="97">
        <f>E102-E101</f>
        <v>0</v>
      </c>
      <c r="F103" s="97">
        <f>F102-F101</f>
        <v>-7851.8800000001211</v>
      </c>
      <c r="G103" s="97">
        <f>G102-G101</f>
        <v>7851.8799999998882</v>
      </c>
    </row>
    <row r="104" spans="2:7" x14ac:dyDescent="0.3">
      <c r="F104" s="50"/>
    </row>
    <row r="106" spans="2:7" x14ac:dyDescent="0.3">
      <c r="D106" s="57"/>
      <c r="G106" s="50"/>
    </row>
    <row r="107" spans="2:7" x14ac:dyDescent="0.3">
      <c r="G107" s="50"/>
    </row>
  </sheetData>
  <mergeCells count="7">
    <mergeCell ref="B1:C1"/>
    <mergeCell ref="B2:C2"/>
    <mergeCell ref="B3:D3"/>
    <mergeCell ref="E1:F1"/>
    <mergeCell ref="E2:F2"/>
    <mergeCell ref="E3:G3"/>
    <mergeCell ref="B103:C10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B1:L18"/>
  <sheetViews>
    <sheetView workbookViewId="0">
      <selection activeCell="E6" sqref="E6"/>
    </sheetView>
  </sheetViews>
  <sheetFormatPr defaultRowHeight="14.4" x14ac:dyDescent="0.3"/>
  <cols>
    <col min="1" max="1" width="2" customWidth="1"/>
    <col min="2" max="2" width="28.44140625" bestFit="1" customWidth="1"/>
    <col min="3" max="3" width="32" customWidth="1"/>
    <col min="4" max="6" width="32" style="151" customWidth="1"/>
    <col min="7" max="8" width="14" customWidth="1"/>
    <col min="9" max="9" width="14" style="152" customWidth="1"/>
    <col min="10" max="12" width="16" customWidth="1"/>
  </cols>
  <sheetData>
    <row r="1" spans="2:12" ht="18" x14ac:dyDescent="0.35">
      <c r="B1" s="95" t="s">
        <v>540</v>
      </c>
      <c r="C1" s="95"/>
      <c r="D1" s="98"/>
      <c r="E1" s="98"/>
      <c r="F1" s="98"/>
      <c r="G1" s="94"/>
      <c r="H1" s="94"/>
      <c r="I1" s="94"/>
      <c r="J1" s="94"/>
      <c r="K1" s="95"/>
      <c r="L1" s="95"/>
    </row>
    <row r="2" spans="2:12" ht="18" x14ac:dyDescent="0.35">
      <c r="B2" s="95" t="s">
        <v>670</v>
      </c>
      <c r="C2" s="95"/>
      <c r="D2" s="98"/>
      <c r="E2" s="98"/>
      <c r="F2" s="98"/>
      <c r="G2" s="94"/>
      <c r="H2" s="94"/>
      <c r="I2" s="94"/>
      <c r="J2" s="94"/>
      <c r="K2" s="95"/>
      <c r="L2" s="95"/>
    </row>
    <row r="3" spans="2:12" x14ac:dyDescent="0.3">
      <c r="B3" s="96" t="s">
        <v>0</v>
      </c>
      <c r="C3" s="96"/>
      <c r="D3" s="138"/>
      <c r="E3" s="138"/>
      <c r="F3" s="138"/>
      <c r="G3" s="94"/>
      <c r="H3" s="94"/>
      <c r="I3" s="94"/>
      <c r="J3" s="94"/>
      <c r="K3" s="96"/>
      <c r="L3" s="96"/>
    </row>
    <row r="4" spans="2:12" x14ac:dyDescent="0.3">
      <c r="K4" s="153"/>
    </row>
    <row r="5" spans="2:12" ht="18" customHeight="1" x14ac:dyDescent="0.3">
      <c r="B5" s="1" t="s">
        <v>194</v>
      </c>
      <c r="C5" s="1" t="s">
        <v>2</v>
      </c>
      <c r="D5" s="81" t="s">
        <v>682</v>
      </c>
      <c r="E5" s="81" t="s">
        <v>244</v>
      </c>
      <c r="F5" s="81" t="s">
        <v>683</v>
      </c>
      <c r="G5" s="1" t="s">
        <v>195</v>
      </c>
      <c r="H5" s="1" t="s">
        <v>196</v>
      </c>
      <c r="I5" s="1"/>
      <c r="J5" s="1" t="s">
        <v>197</v>
      </c>
      <c r="K5" s="1" t="s">
        <v>198</v>
      </c>
      <c r="L5" s="1" t="s">
        <v>199</v>
      </c>
    </row>
    <row r="6" spans="2:12" ht="18" customHeight="1" x14ac:dyDescent="0.3">
      <c r="B6" s="48" t="s">
        <v>7</v>
      </c>
      <c r="C6" s="48" t="s">
        <v>697</v>
      </c>
      <c r="D6" s="48" t="s">
        <v>696</v>
      </c>
      <c r="E6" s="162">
        <v>45692</v>
      </c>
      <c r="F6" s="48" t="s">
        <v>651</v>
      </c>
      <c r="G6" s="164">
        <v>45717</v>
      </c>
      <c r="H6" s="164">
        <v>46081</v>
      </c>
      <c r="I6" s="165">
        <v>992.58</v>
      </c>
      <c r="J6" s="165">
        <f>I6/DATEDIF(G6,H6+1,"M")</f>
        <v>82.715000000000003</v>
      </c>
      <c r="K6" s="165">
        <f>J6*DATEDIF(G6,'Summary Page'!$C$4+1,"M")</f>
        <v>909.86500000000001</v>
      </c>
      <c r="L6" s="165">
        <f>I6-K6</f>
        <v>82.715000000000032</v>
      </c>
    </row>
    <row r="7" spans="2:12" ht="18" customHeight="1" x14ac:dyDescent="0.3">
      <c r="B7" s="161" t="s">
        <v>679</v>
      </c>
      <c r="C7" s="161" t="s">
        <v>695</v>
      </c>
      <c r="D7" s="161">
        <v>69655</v>
      </c>
      <c r="E7" s="163">
        <v>45748</v>
      </c>
      <c r="F7" s="161" t="s">
        <v>659</v>
      </c>
      <c r="G7" s="166">
        <v>45748</v>
      </c>
      <c r="H7" s="166">
        <v>46112</v>
      </c>
      <c r="I7" s="167">
        <v>1500</v>
      </c>
      <c r="J7" s="167">
        <f t="shared" ref="J7:J14" si="0">I7/DATEDIF(G7,H7+1,"M")</f>
        <v>125</v>
      </c>
      <c r="K7" s="167">
        <f>J7*DATEDIF(G7,'Summary Page'!$C$4+1,"M")</f>
        <v>1250</v>
      </c>
      <c r="L7" s="167">
        <f t="shared" ref="L7:L13" si="1">I7-K7</f>
        <v>250</v>
      </c>
    </row>
    <row r="8" spans="2:12" ht="18" customHeight="1" x14ac:dyDescent="0.3">
      <c r="B8" s="48" t="s">
        <v>679</v>
      </c>
      <c r="C8" s="48" t="s">
        <v>695</v>
      </c>
      <c r="D8" s="48">
        <v>69656</v>
      </c>
      <c r="E8" s="162">
        <v>45748</v>
      </c>
      <c r="F8" s="48" t="s">
        <v>659</v>
      </c>
      <c r="G8" s="164">
        <v>45748</v>
      </c>
      <c r="H8" s="164">
        <v>46112</v>
      </c>
      <c r="I8" s="165">
        <v>1500</v>
      </c>
      <c r="J8" s="165">
        <f t="shared" si="0"/>
        <v>125</v>
      </c>
      <c r="K8" s="165">
        <f>J8*DATEDIF(G8,'Summary Page'!$C$4+1,"M")</f>
        <v>1250</v>
      </c>
      <c r="L8" s="165">
        <f t="shared" si="1"/>
        <v>250</v>
      </c>
    </row>
    <row r="9" spans="2:12" ht="18" customHeight="1" x14ac:dyDescent="0.3">
      <c r="B9" s="161" t="s">
        <v>680</v>
      </c>
      <c r="C9" s="161" t="s">
        <v>693</v>
      </c>
      <c r="D9" s="161" t="s">
        <v>694</v>
      </c>
      <c r="E9" s="163">
        <v>45778</v>
      </c>
      <c r="F9" s="161" t="s">
        <v>659</v>
      </c>
      <c r="G9" s="166">
        <v>45809</v>
      </c>
      <c r="H9" s="166">
        <v>46173</v>
      </c>
      <c r="I9" s="167">
        <v>915.2</v>
      </c>
      <c r="J9" s="167">
        <f t="shared" si="0"/>
        <v>76.266666666666666</v>
      </c>
      <c r="K9" s="167">
        <f>J9*DATEDIF(G9,'Summary Page'!$C$4+1,"M")</f>
        <v>610.13333333333333</v>
      </c>
      <c r="L9" s="167">
        <f t="shared" si="1"/>
        <v>305.06666666666672</v>
      </c>
    </row>
    <row r="10" spans="2:12" s="154" customFormat="1" ht="18" customHeight="1" x14ac:dyDescent="0.3">
      <c r="B10" s="48" t="s">
        <v>680</v>
      </c>
      <c r="C10" s="48" t="s">
        <v>693</v>
      </c>
      <c r="D10" s="48" t="s">
        <v>692</v>
      </c>
      <c r="E10" s="162">
        <v>45778</v>
      </c>
      <c r="F10" s="48" t="s">
        <v>659</v>
      </c>
      <c r="G10" s="164">
        <v>45809</v>
      </c>
      <c r="H10" s="164">
        <v>46173</v>
      </c>
      <c r="I10" s="165">
        <v>607.6</v>
      </c>
      <c r="J10" s="165">
        <f t="shared" ref="J10" si="2">I10/DATEDIF(G10,H10+1,"M")</f>
        <v>50.633333333333333</v>
      </c>
      <c r="K10" s="165">
        <f>J10*DATEDIF(G10,'Summary Page'!$C$4+1,"M")</f>
        <v>405.06666666666666</v>
      </c>
      <c r="L10" s="165">
        <f t="shared" ref="L10" si="3">I10-K10</f>
        <v>202.53333333333336</v>
      </c>
    </row>
    <row r="11" spans="2:12" ht="18" customHeight="1" x14ac:dyDescent="0.3">
      <c r="B11" s="161" t="s">
        <v>680</v>
      </c>
      <c r="C11" s="161" t="s">
        <v>693</v>
      </c>
      <c r="D11" s="161" t="s">
        <v>691</v>
      </c>
      <c r="E11" s="163">
        <v>45778</v>
      </c>
      <c r="F11" s="161" t="s">
        <v>659</v>
      </c>
      <c r="G11" s="166">
        <v>45809</v>
      </c>
      <c r="H11" s="166">
        <v>46173</v>
      </c>
      <c r="I11" s="167">
        <v>607.6</v>
      </c>
      <c r="J11" s="167">
        <f t="shared" si="0"/>
        <v>50.633333333333333</v>
      </c>
      <c r="K11" s="167">
        <f>J11*DATEDIF(G11,'Summary Page'!$C$4+1,"M")</f>
        <v>405.06666666666666</v>
      </c>
      <c r="L11" s="167">
        <f t="shared" si="1"/>
        <v>202.53333333333336</v>
      </c>
    </row>
    <row r="12" spans="2:12" ht="18" customHeight="1" x14ac:dyDescent="0.3">
      <c r="B12" s="48" t="s">
        <v>681</v>
      </c>
      <c r="C12" s="48" t="s">
        <v>690</v>
      </c>
      <c r="D12" s="48">
        <v>1727601</v>
      </c>
      <c r="E12" s="162">
        <v>45870</v>
      </c>
      <c r="F12" s="48" t="s">
        <v>647</v>
      </c>
      <c r="G12" s="164">
        <v>45901</v>
      </c>
      <c r="H12" s="164">
        <v>46265</v>
      </c>
      <c r="I12" s="165">
        <v>670.8</v>
      </c>
      <c r="J12" s="165">
        <f t="shared" si="0"/>
        <v>55.9</v>
      </c>
      <c r="K12" s="165">
        <f>J12*DATEDIF(G12,'Summary Page'!$C$4+1,"M")</f>
        <v>279.5</v>
      </c>
      <c r="L12" s="165">
        <f t="shared" si="1"/>
        <v>391.29999999999995</v>
      </c>
    </row>
    <row r="13" spans="2:12" ht="18" customHeight="1" x14ac:dyDescent="0.3">
      <c r="B13" s="161" t="s">
        <v>303</v>
      </c>
      <c r="C13" s="161" t="s">
        <v>689</v>
      </c>
      <c r="D13" s="161">
        <v>3305</v>
      </c>
      <c r="E13" s="163">
        <v>45946</v>
      </c>
      <c r="F13" s="161" t="s">
        <v>661</v>
      </c>
      <c r="G13" s="166">
        <v>45950</v>
      </c>
      <c r="H13" s="166">
        <v>46314</v>
      </c>
      <c r="I13" s="167">
        <v>1500</v>
      </c>
      <c r="J13" s="167">
        <f t="shared" si="0"/>
        <v>125</v>
      </c>
      <c r="K13" s="167">
        <f>J13*DATEDIF(G13,'Summary Page'!$C$4+1,"M")</f>
        <v>375</v>
      </c>
      <c r="L13" s="167">
        <f t="shared" si="1"/>
        <v>1125</v>
      </c>
    </row>
    <row r="14" spans="2:12" s="154" customFormat="1" ht="18" customHeight="1" x14ac:dyDescent="0.3">
      <c r="B14" s="48" t="s">
        <v>6</v>
      </c>
      <c r="C14" s="48" t="s">
        <v>688</v>
      </c>
      <c r="D14" s="48">
        <v>128260</v>
      </c>
      <c r="E14" s="162">
        <v>46023</v>
      </c>
      <c r="F14" s="48">
        <v>637370</v>
      </c>
      <c r="G14" s="164">
        <v>46023</v>
      </c>
      <c r="H14" s="164">
        <v>46387</v>
      </c>
      <c r="I14" s="165">
        <v>3750</v>
      </c>
      <c r="J14" s="165">
        <f t="shared" si="0"/>
        <v>312.5</v>
      </c>
      <c r="K14" s="165">
        <f>J14*DATEDIF(G14,'Summary Page'!$C$4+1,"M")</f>
        <v>312.5</v>
      </c>
      <c r="L14" s="165">
        <f t="shared" ref="L14" si="4">I14-K14</f>
        <v>3437.5</v>
      </c>
    </row>
    <row r="15" spans="2:12" ht="15" thickBot="1" x14ac:dyDescent="0.35">
      <c r="B15" s="9"/>
      <c r="C15" s="9"/>
      <c r="D15" s="8"/>
      <c r="E15" s="8"/>
      <c r="F15" s="8"/>
      <c r="G15" s="9"/>
      <c r="H15" s="9"/>
      <c r="I15" s="8"/>
      <c r="J15" s="9"/>
      <c r="K15" s="9"/>
      <c r="L15" s="9"/>
    </row>
    <row r="16" spans="2:12" x14ac:dyDescent="0.3">
      <c r="B16" s="89" t="s">
        <v>34</v>
      </c>
      <c r="C16" s="90"/>
      <c r="D16" s="90"/>
      <c r="E16" s="156"/>
      <c r="F16" s="156"/>
      <c r="G16" s="156"/>
      <c r="H16" s="156"/>
      <c r="I16" s="156"/>
      <c r="J16" s="156"/>
      <c r="K16" s="160"/>
      <c r="L16" s="91">
        <f>SUM(L6:L14)</f>
        <v>6246.6483333333335</v>
      </c>
    </row>
    <row r="17" spans="2:12" x14ac:dyDescent="0.3">
      <c r="B17" s="82" t="s">
        <v>35</v>
      </c>
      <c r="C17" s="83"/>
      <c r="D17" s="83"/>
      <c r="E17" s="93"/>
      <c r="F17" s="93"/>
      <c r="G17" s="93"/>
      <c r="H17" s="93"/>
      <c r="I17" s="93"/>
      <c r="J17" s="93"/>
      <c r="K17" s="139"/>
      <c r="L17" s="88">
        <f>VLOOKUP(B1,'Trial Balance'!$A:$F,6,0)</f>
        <v>1721.64</v>
      </c>
    </row>
    <row r="18" spans="2:12" x14ac:dyDescent="0.3">
      <c r="B18" s="86" t="s">
        <v>36</v>
      </c>
      <c r="C18" s="115"/>
      <c r="D18" s="87"/>
      <c r="E18" s="157"/>
      <c r="F18" s="157"/>
      <c r="G18" s="158"/>
      <c r="H18" s="157"/>
      <c r="I18" s="157"/>
      <c r="J18" s="158"/>
      <c r="K18" s="159"/>
      <c r="L18" s="97">
        <f>L16-L17</f>
        <v>4525.0083333333332</v>
      </c>
    </row>
  </sheetData>
  <mergeCells count="15">
    <mergeCell ref="E17:G17"/>
    <mergeCell ref="H17:J17"/>
    <mergeCell ref="B18:D18"/>
    <mergeCell ref="E18:G18"/>
    <mergeCell ref="H18:J18"/>
    <mergeCell ref="B1:C1"/>
    <mergeCell ref="K1:L1"/>
    <mergeCell ref="B2:C2"/>
    <mergeCell ref="K2:L2"/>
    <mergeCell ref="B3:C3"/>
    <mergeCell ref="K3:L3"/>
    <mergeCell ref="B16:D16"/>
    <mergeCell ref="E16:G16"/>
    <mergeCell ref="H16:J16"/>
    <mergeCell ref="B17:D1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B1:F10"/>
  <sheetViews>
    <sheetView workbookViewId="0">
      <pane xSplit="1" ySplit="5" topLeftCell="B6" activePane="bottomRight" state="frozen"/>
      <selection pane="topRight"/>
      <selection pane="bottomLeft"/>
      <selection pane="bottomRight" activeCell="B1" sqref="B1:C2"/>
    </sheetView>
  </sheetViews>
  <sheetFormatPr defaultRowHeight="14.4" x14ac:dyDescent="0.3"/>
  <cols>
    <col min="1" max="1" width="2" customWidth="1"/>
    <col min="2" max="2" width="12" customWidth="1"/>
    <col min="3" max="3" width="58" customWidth="1"/>
    <col min="4" max="4" width="18" customWidth="1"/>
    <col min="5" max="5" width="15.33203125" customWidth="1"/>
  </cols>
  <sheetData>
    <row r="1" spans="2:6" ht="18" x14ac:dyDescent="0.35">
      <c r="B1" s="95" t="s">
        <v>201</v>
      </c>
      <c r="C1" s="95"/>
      <c r="D1" s="94"/>
      <c r="E1" s="94"/>
      <c r="F1" s="94"/>
    </row>
    <row r="2" spans="2:6" ht="18" x14ac:dyDescent="0.35">
      <c r="B2" s="95" t="s">
        <v>542</v>
      </c>
      <c r="C2" s="95"/>
      <c r="D2" s="94"/>
      <c r="E2" s="94"/>
      <c r="F2" s="94"/>
    </row>
    <row r="3" spans="2:6" x14ac:dyDescent="0.3">
      <c r="B3" s="96" t="s">
        <v>37</v>
      </c>
      <c r="C3" s="96"/>
      <c r="D3" s="94"/>
      <c r="E3" s="94"/>
      <c r="F3" s="94"/>
    </row>
    <row r="5" spans="2:6" ht="22.05" customHeight="1" x14ac:dyDescent="0.3">
      <c r="B5" s="1" t="s">
        <v>1</v>
      </c>
      <c r="C5" s="1" t="s">
        <v>2</v>
      </c>
      <c r="D5" s="81" t="s">
        <v>45</v>
      </c>
      <c r="E5" s="110" t="s">
        <v>675</v>
      </c>
      <c r="F5" s="110" t="s">
        <v>152</v>
      </c>
    </row>
    <row r="6" spans="2:6" x14ac:dyDescent="0.3">
      <c r="F6" s="120">
        <f>SUM(D6:E6)</f>
        <v>0</v>
      </c>
    </row>
    <row r="7" spans="2:6" ht="15" thickBot="1" x14ac:dyDescent="0.35">
      <c r="F7" s="121">
        <f>SUM(D7:E7)</f>
        <v>0</v>
      </c>
    </row>
    <row r="8" spans="2:6" x14ac:dyDescent="0.3">
      <c r="B8" s="89" t="s">
        <v>34</v>
      </c>
      <c r="C8" s="90"/>
      <c r="D8" s="91">
        <f>SUM(B6:B7)</f>
        <v>0</v>
      </c>
      <c r="E8" s="91">
        <f>SUM(C6:C7)</f>
        <v>0</v>
      </c>
      <c r="F8" s="114">
        <f>SUM(D6:D7)</f>
        <v>0</v>
      </c>
    </row>
    <row r="9" spans="2:6" x14ac:dyDescent="0.3">
      <c r="B9" s="82" t="s">
        <v>35</v>
      </c>
      <c r="C9" s="92"/>
      <c r="D9" s="88"/>
      <c r="E9" s="88"/>
      <c r="F9" s="88">
        <f>VLOOKUP(B1,'Trial Balance'!$A:$F,6,0)</f>
        <v>0</v>
      </c>
    </row>
    <row r="10" spans="2:6" x14ac:dyDescent="0.3">
      <c r="B10" s="86" t="s">
        <v>36</v>
      </c>
      <c r="C10" s="87"/>
      <c r="D10" s="119"/>
      <c r="E10" s="85"/>
      <c r="F10" s="97">
        <f>F8-F9</f>
        <v>0</v>
      </c>
    </row>
  </sheetData>
  <mergeCells count="6">
    <mergeCell ref="B8:C8"/>
    <mergeCell ref="B9:C9"/>
    <mergeCell ref="B10:C10"/>
    <mergeCell ref="B1:C1"/>
    <mergeCell ref="B2:C2"/>
    <mergeCell ref="B3:C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B1:F10"/>
  <sheetViews>
    <sheetView workbookViewId="0">
      <selection activeCell="B3" sqref="B3:C3"/>
    </sheetView>
  </sheetViews>
  <sheetFormatPr defaultRowHeight="14.4" x14ac:dyDescent="0.3"/>
  <cols>
    <col min="1" max="1" width="2" customWidth="1"/>
    <col min="2" max="2" width="15" customWidth="1"/>
    <col min="3" max="3" width="30.21875" customWidth="1"/>
    <col min="4" max="4" width="18" customWidth="1"/>
    <col min="5" max="5" width="10.44140625" bestFit="1" customWidth="1"/>
    <col min="6" max="6" width="14" bestFit="1" customWidth="1"/>
  </cols>
  <sheetData>
    <row r="1" spans="2:6" ht="18" x14ac:dyDescent="0.35">
      <c r="B1" s="95" t="s">
        <v>543</v>
      </c>
      <c r="C1" s="95"/>
      <c r="D1" s="94"/>
      <c r="E1" s="94"/>
      <c r="F1" s="94"/>
    </row>
    <row r="2" spans="2:6" ht="18" x14ac:dyDescent="0.35">
      <c r="B2" s="95" t="s">
        <v>544</v>
      </c>
      <c r="C2" s="95"/>
      <c r="D2" s="94"/>
      <c r="E2" s="94"/>
      <c r="F2" s="94"/>
    </row>
    <row r="3" spans="2:6" x14ac:dyDescent="0.3">
      <c r="B3" s="96" t="s">
        <v>0</v>
      </c>
      <c r="C3" s="96"/>
      <c r="D3" s="94"/>
      <c r="E3" s="94"/>
      <c r="F3" s="94"/>
    </row>
    <row r="5" spans="2:6" ht="18" customHeight="1" x14ac:dyDescent="0.3">
      <c r="B5" s="1" t="s">
        <v>1</v>
      </c>
      <c r="C5" s="1" t="s">
        <v>2</v>
      </c>
      <c r="D5" s="81" t="s">
        <v>45</v>
      </c>
      <c r="E5" s="110" t="s">
        <v>675</v>
      </c>
      <c r="F5" s="110" t="s">
        <v>152</v>
      </c>
    </row>
    <row r="6" spans="2:6" x14ac:dyDescent="0.3">
      <c r="B6" s="6" t="s">
        <v>203</v>
      </c>
      <c r="C6" s="6" t="s">
        <v>202</v>
      </c>
      <c r="D6" s="124">
        <v>29000000</v>
      </c>
      <c r="E6" s="125"/>
      <c r="F6" s="124">
        <f>SUM(D6:E6)</f>
        <v>29000000</v>
      </c>
    </row>
    <row r="7" spans="2:6" ht="15" thickBot="1" x14ac:dyDescent="0.35">
      <c r="F7" s="121"/>
    </row>
    <row r="8" spans="2:6" x14ac:dyDescent="0.3">
      <c r="B8" s="89" t="s">
        <v>34</v>
      </c>
      <c r="C8" s="90"/>
      <c r="D8" s="91">
        <f>SUM(B5:B15)</f>
        <v>0</v>
      </c>
      <c r="E8" s="91">
        <f>SUM(C5:C6)</f>
        <v>0</v>
      </c>
      <c r="F8" s="114">
        <f>SUM(F6:F7)</f>
        <v>29000000</v>
      </c>
    </row>
    <row r="9" spans="2:6" x14ac:dyDescent="0.3">
      <c r="B9" s="82" t="s">
        <v>35</v>
      </c>
      <c r="C9" s="92"/>
      <c r="D9" s="88"/>
      <c r="E9" s="88"/>
      <c r="F9" s="88">
        <f>VLOOKUP(B1,'Trial Balance'!$A:$F,6,0)</f>
        <v>29000000</v>
      </c>
    </row>
    <row r="10" spans="2:6" x14ac:dyDescent="0.3">
      <c r="B10" s="86" t="s">
        <v>36</v>
      </c>
      <c r="C10" s="87"/>
      <c r="D10" s="119"/>
      <c r="E10" s="85"/>
      <c r="F10" s="97">
        <f>F8-F9</f>
        <v>0</v>
      </c>
    </row>
  </sheetData>
  <mergeCells count="6">
    <mergeCell ref="B8:C8"/>
    <mergeCell ref="B10:C10"/>
    <mergeCell ref="B9:C9"/>
    <mergeCell ref="B1:C1"/>
    <mergeCell ref="B2:C2"/>
    <mergeCell ref="B3:C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</sheetPr>
  <dimension ref="B1:F12"/>
  <sheetViews>
    <sheetView workbookViewId="0">
      <selection activeCell="F10" sqref="F10:F12"/>
    </sheetView>
  </sheetViews>
  <sheetFormatPr defaultRowHeight="14.4" x14ac:dyDescent="0.3"/>
  <cols>
    <col min="1" max="1" width="2" customWidth="1"/>
    <col min="2" max="2" width="50" customWidth="1"/>
    <col min="3" max="3" width="28.21875" bestFit="1" customWidth="1"/>
    <col min="4" max="4" width="18" customWidth="1"/>
    <col min="5" max="5" width="14.109375" bestFit="1" customWidth="1"/>
    <col min="6" max="6" width="14.44140625" bestFit="1" customWidth="1"/>
  </cols>
  <sheetData>
    <row r="1" spans="2:6" ht="18" x14ac:dyDescent="0.35">
      <c r="B1" s="95" t="s">
        <v>545</v>
      </c>
      <c r="C1" s="95"/>
      <c r="D1" s="94"/>
      <c r="E1" s="94"/>
      <c r="F1" s="94"/>
    </row>
    <row r="2" spans="2:6" ht="18" x14ac:dyDescent="0.35">
      <c r="B2" s="95" t="s">
        <v>546</v>
      </c>
      <c r="C2" s="95"/>
      <c r="D2" s="94"/>
      <c r="E2" s="94"/>
      <c r="F2" s="94"/>
    </row>
    <row r="3" spans="2:6" x14ac:dyDescent="0.3">
      <c r="B3" s="96" t="s">
        <v>0</v>
      </c>
      <c r="C3" s="96"/>
      <c r="D3" s="94"/>
      <c r="E3" s="94"/>
      <c r="F3" s="94"/>
    </row>
    <row r="5" spans="2:6" ht="18" customHeight="1" x14ac:dyDescent="0.3">
      <c r="B5" s="1" t="s">
        <v>1</v>
      </c>
      <c r="C5" s="1" t="s">
        <v>2</v>
      </c>
      <c r="D5" s="81" t="s">
        <v>45</v>
      </c>
      <c r="E5" s="110" t="s">
        <v>675</v>
      </c>
      <c r="F5" s="110" t="s">
        <v>152</v>
      </c>
    </row>
    <row r="6" spans="2:6" x14ac:dyDescent="0.3">
      <c r="B6" s="6" t="s">
        <v>205</v>
      </c>
      <c r="C6" s="6" t="s">
        <v>204</v>
      </c>
      <c r="D6" s="126"/>
      <c r="E6" s="125">
        <v>78897071.989999995</v>
      </c>
      <c r="F6" s="126">
        <f>SUM(D6:E6)</f>
        <v>78897071.989999995</v>
      </c>
    </row>
    <row r="7" spans="2:6" x14ac:dyDescent="0.3">
      <c r="B7" s="127" t="s">
        <v>207</v>
      </c>
      <c r="C7" s="127" t="s">
        <v>206</v>
      </c>
      <c r="D7" s="128"/>
      <c r="E7" s="129">
        <v>520.92999999999995</v>
      </c>
      <c r="F7" s="128">
        <f t="shared" ref="F7:F8" si="0">SUM(D7:E7)</f>
        <v>520.92999999999995</v>
      </c>
    </row>
    <row r="8" spans="2:6" x14ac:dyDescent="0.3">
      <c r="B8" s="6" t="s">
        <v>209</v>
      </c>
      <c r="C8" s="6" t="s">
        <v>208</v>
      </c>
      <c r="D8" s="126">
        <v>-10220.91</v>
      </c>
      <c r="E8" s="125"/>
      <c r="F8" s="126">
        <f t="shared" si="0"/>
        <v>-10220.91</v>
      </c>
    </row>
    <row r="9" spans="2:6" ht="15" thickBot="1" x14ac:dyDescent="0.35">
      <c r="D9" s="113"/>
      <c r="F9" s="120"/>
    </row>
    <row r="10" spans="2:6" x14ac:dyDescent="0.3">
      <c r="B10" s="89" t="s">
        <v>34</v>
      </c>
      <c r="C10" s="90"/>
      <c r="D10" s="91"/>
      <c r="E10" s="91"/>
      <c r="F10" s="114">
        <f>SUM(F6:F8)</f>
        <v>78887372.010000005</v>
      </c>
    </row>
    <row r="11" spans="2:6" x14ac:dyDescent="0.3">
      <c r="B11" s="82" t="s">
        <v>35</v>
      </c>
      <c r="C11" s="92"/>
      <c r="D11" s="88"/>
      <c r="E11" s="88"/>
      <c r="F11" s="88">
        <f>VLOOKUP(B1,'Trial Balance'!$A:$F,6,0)</f>
        <v>78887372.010000005</v>
      </c>
    </row>
    <row r="12" spans="2:6" x14ac:dyDescent="0.3">
      <c r="B12" s="86" t="s">
        <v>36</v>
      </c>
      <c r="C12" s="87"/>
      <c r="D12" s="97"/>
      <c r="E12" s="97"/>
      <c r="F12" s="97">
        <f>F10-F11</f>
        <v>0</v>
      </c>
    </row>
  </sheetData>
  <mergeCells count="6">
    <mergeCell ref="B12:C12"/>
    <mergeCell ref="B11:C11"/>
    <mergeCell ref="B10:C10"/>
    <mergeCell ref="B1:C1"/>
    <mergeCell ref="B2:C2"/>
    <mergeCell ref="B3:C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B1:F13"/>
  <sheetViews>
    <sheetView workbookViewId="0">
      <selection activeCell="B11" sqref="B11:C13"/>
    </sheetView>
  </sheetViews>
  <sheetFormatPr defaultRowHeight="14.4" x14ac:dyDescent="0.3"/>
  <cols>
    <col min="1" max="1" width="2" customWidth="1"/>
    <col min="2" max="2" width="50" customWidth="1"/>
    <col min="3" max="3" width="49.6640625" bestFit="1" customWidth="1"/>
    <col min="4" max="5" width="18" customWidth="1"/>
    <col min="6" max="6" width="14.44140625" bestFit="1" customWidth="1"/>
  </cols>
  <sheetData>
    <row r="1" spans="2:6" ht="18" x14ac:dyDescent="0.35">
      <c r="B1" s="95" t="s">
        <v>547</v>
      </c>
      <c r="C1" s="95"/>
      <c r="D1" s="94"/>
      <c r="E1" s="94"/>
      <c r="F1" s="94"/>
    </row>
    <row r="2" spans="2:6" ht="18" x14ac:dyDescent="0.35">
      <c r="B2" s="95" t="s">
        <v>548</v>
      </c>
      <c r="C2" s="95"/>
      <c r="D2" s="94"/>
      <c r="E2" s="94"/>
      <c r="F2" s="94"/>
    </row>
    <row r="3" spans="2:6" x14ac:dyDescent="0.3">
      <c r="B3" s="96" t="s">
        <v>0</v>
      </c>
      <c r="C3" s="96"/>
      <c r="D3" s="94"/>
      <c r="E3" s="94"/>
      <c r="F3" s="94"/>
    </row>
    <row r="5" spans="2:6" ht="18" customHeight="1" x14ac:dyDescent="0.3">
      <c r="B5" s="81" t="s">
        <v>1</v>
      </c>
      <c r="C5" s="1" t="s">
        <v>2</v>
      </c>
      <c r="D5" s="81" t="s">
        <v>675</v>
      </c>
      <c r="E5" s="137" t="s">
        <v>45</v>
      </c>
      <c r="F5" s="110" t="s">
        <v>152</v>
      </c>
    </row>
    <row r="6" spans="2:6" x14ac:dyDescent="0.3">
      <c r="B6" s="2" t="s">
        <v>211</v>
      </c>
      <c r="C6" s="122" t="s">
        <v>210</v>
      </c>
      <c r="D6" s="4">
        <v>49570</v>
      </c>
      <c r="E6" s="4"/>
      <c r="F6" s="4">
        <f>SUM(D6:E6)</f>
        <v>49570</v>
      </c>
    </row>
    <row r="7" spans="2:6" x14ac:dyDescent="0.3">
      <c r="B7" s="5" t="s">
        <v>211</v>
      </c>
      <c r="C7" s="123" t="s">
        <v>212</v>
      </c>
      <c r="D7" s="7">
        <v>705</v>
      </c>
      <c r="E7" s="7"/>
      <c r="F7" s="7">
        <f t="shared" ref="F7:F9" si="0">SUM(D7:E7)</f>
        <v>705</v>
      </c>
    </row>
    <row r="8" spans="2:6" x14ac:dyDescent="0.3">
      <c r="B8" s="2" t="s">
        <v>214</v>
      </c>
      <c r="C8" s="122" t="s">
        <v>213</v>
      </c>
      <c r="D8" s="4">
        <v>12828.1</v>
      </c>
      <c r="E8" s="4"/>
      <c r="F8" s="4">
        <f t="shared" si="0"/>
        <v>12828.1</v>
      </c>
    </row>
    <row r="9" spans="2:6" x14ac:dyDescent="0.3">
      <c r="B9" s="5" t="s">
        <v>214</v>
      </c>
      <c r="C9" s="123" t="s">
        <v>215</v>
      </c>
      <c r="D9" s="7">
        <v>33400</v>
      </c>
      <c r="E9" s="7"/>
      <c r="F9" s="4">
        <f t="shared" si="0"/>
        <v>33400</v>
      </c>
    </row>
    <row r="10" spans="2:6" ht="15" thickBot="1" x14ac:dyDescent="0.35">
      <c r="B10" s="130"/>
      <c r="C10" s="131"/>
      <c r="D10" s="132"/>
      <c r="E10" s="132"/>
    </row>
    <row r="11" spans="2:6" x14ac:dyDescent="0.3">
      <c r="B11" s="89" t="s">
        <v>34</v>
      </c>
      <c r="C11" s="90"/>
      <c r="D11" s="91"/>
      <c r="E11" s="91"/>
      <c r="F11" s="114">
        <f>SUM(F6:F9)</f>
        <v>96503.1</v>
      </c>
    </row>
    <row r="12" spans="2:6" x14ac:dyDescent="0.3">
      <c r="B12" s="82" t="s">
        <v>35</v>
      </c>
      <c r="C12" s="92"/>
      <c r="D12" s="88"/>
      <c r="E12" s="88"/>
      <c r="F12" s="88">
        <f>VLOOKUP(B1,'Trial Balance'!$A:$F,6,0)</f>
        <v>96503.1</v>
      </c>
    </row>
    <row r="13" spans="2:6" x14ac:dyDescent="0.3">
      <c r="B13" s="86" t="s">
        <v>36</v>
      </c>
      <c r="C13" s="87"/>
      <c r="D13" s="97"/>
      <c r="E13" s="97"/>
      <c r="F13" s="97"/>
    </row>
  </sheetData>
  <mergeCells count="6">
    <mergeCell ref="B12:C12"/>
    <mergeCell ref="B13:C13"/>
    <mergeCell ref="B11:C11"/>
    <mergeCell ref="B1:C1"/>
    <mergeCell ref="B2:C2"/>
    <mergeCell ref="B3:C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70C0"/>
  </sheetPr>
  <dimension ref="B1:F15"/>
  <sheetViews>
    <sheetView workbookViewId="0"/>
  </sheetViews>
  <sheetFormatPr defaultRowHeight="14.4" x14ac:dyDescent="0.3"/>
  <cols>
    <col min="1" max="1" width="2" customWidth="1"/>
    <col min="2" max="2" width="44" customWidth="1"/>
    <col min="3" max="3" width="12" customWidth="1"/>
    <col min="4" max="4" width="30" customWidth="1"/>
    <col min="5" max="5" width="18" customWidth="1"/>
    <col min="6" max="6" width="12.6640625" bestFit="1" customWidth="1"/>
  </cols>
  <sheetData>
    <row r="1" spans="2:6" ht="18" x14ac:dyDescent="0.35">
      <c r="B1" s="95" t="s">
        <v>549</v>
      </c>
      <c r="C1" s="95"/>
      <c r="D1" s="94"/>
      <c r="E1" s="94"/>
      <c r="F1" s="94"/>
    </row>
    <row r="2" spans="2:6" ht="18" x14ac:dyDescent="0.35">
      <c r="B2" s="95" t="s">
        <v>550</v>
      </c>
      <c r="C2" s="95"/>
      <c r="D2" s="94"/>
      <c r="E2" s="94"/>
      <c r="F2" s="94"/>
    </row>
    <row r="3" spans="2:6" x14ac:dyDescent="0.3">
      <c r="B3" s="96" t="s">
        <v>0</v>
      </c>
      <c r="C3" s="96"/>
      <c r="D3" s="94"/>
      <c r="E3" s="94"/>
      <c r="F3" s="94"/>
    </row>
    <row r="5" spans="2:6" ht="18" customHeight="1" x14ac:dyDescent="0.3">
      <c r="B5" s="81" t="s">
        <v>216</v>
      </c>
      <c r="C5" s="1" t="s">
        <v>2</v>
      </c>
      <c r="D5" s="81" t="s">
        <v>675</v>
      </c>
      <c r="E5" s="137" t="s">
        <v>45</v>
      </c>
      <c r="F5" s="110" t="s">
        <v>152</v>
      </c>
    </row>
    <row r="6" spans="2:6" x14ac:dyDescent="0.3">
      <c r="B6" s="2" t="s">
        <v>218</v>
      </c>
      <c r="C6" s="3" t="s">
        <v>217</v>
      </c>
      <c r="D6" s="2"/>
      <c r="E6" s="4">
        <v>599121.6</v>
      </c>
      <c r="F6" s="4">
        <f>SUM(D6:E6)</f>
        <v>599121.6</v>
      </c>
    </row>
    <row r="7" spans="2:6" x14ac:dyDescent="0.3">
      <c r="B7" s="5" t="s">
        <v>220</v>
      </c>
      <c r="C7" s="6" t="s">
        <v>219</v>
      </c>
      <c r="D7" s="5"/>
      <c r="E7" s="7">
        <v>638190</v>
      </c>
      <c r="F7" s="7">
        <f t="shared" ref="F7:F11" si="0">SUM(D7:E7)</f>
        <v>638190</v>
      </c>
    </row>
    <row r="8" spans="2:6" x14ac:dyDescent="0.3">
      <c r="B8" s="2" t="s">
        <v>220</v>
      </c>
      <c r="C8" s="3" t="s">
        <v>221</v>
      </c>
      <c r="D8" s="2"/>
      <c r="E8" s="4">
        <v>1365063</v>
      </c>
      <c r="F8" s="4">
        <f t="shared" si="0"/>
        <v>1365063</v>
      </c>
    </row>
    <row r="9" spans="2:6" x14ac:dyDescent="0.3">
      <c r="B9" s="5" t="s">
        <v>223</v>
      </c>
      <c r="C9" s="6" t="s">
        <v>222</v>
      </c>
      <c r="D9" s="5"/>
      <c r="E9" s="7">
        <v>448665</v>
      </c>
      <c r="F9" s="7">
        <f t="shared" si="0"/>
        <v>448665</v>
      </c>
    </row>
    <row r="10" spans="2:6" x14ac:dyDescent="0.3">
      <c r="B10" s="2" t="s">
        <v>225</v>
      </c>
      <c r="C10" s="3" t="s">
        <v>224</v>
      </c>
      <c r="D10" s="2"/>
      <c r="E10" s="4">
        <v>568260</v>
      </c>
      <c r="F10" s="4">
        <f t="shared" si="0"/>
        <v>568260</v>
      </c>
    </row>
    <row r="11" spans="2:6" x14ac:dyDescent="0.3">
      <c r="B11" s="6" t="s">
        <v>226</v>
      </c>
      <c r="C11" s="5"/>
      <c r="D11" s="5"/>
      <c r="E11" s="7">
        <v>0.4</v>
      </c>
      <c r="F11" s="7">
        <f t="shared" si="0"/>
        <v>0.4</v>
      </c>
    </row>
    <row r="12" spans="2:6" ht="15" thickBot="1" x14ac:dyDescent="0.35">
      <c r="B12" s="9"/>
      <c r="C12" s="9"/>
      <c r="D12" s="9"/>
      <c r="E12" s="9"/>
    </row>
    <row r="13" spans="2:6" x14ac:dyDescent="0.3">
      <c r="B13" s="89" t="s">
        <v>34</v>
      </c>
      <c r="C13" s="90"/>
      <c r="D13" s="91"/>
      <c r="E13" s="91"/>
      <c r="F13" s="114">
        <f>SUM(F6:F11)</f>
        <v>3619300</v>
      </c>
    </row>
    <row r="14" spans="2:6" x14ac:dyDescent="0.3">
      <c r="B14" s="82" t="s">
        <v>35</v>
      </c>
      <c r="C14" s="92"/>
      <c r="D14" s="88"/>
      <c r="E14" s="88"/>
      <c r="F14" s="88">
        <f>VLOOKUP(B1,'Trial Balance'!$A:$F,6,0)</f>
        <v>3619300</v>
      </c>
    </row>
    <row r="15" spans="2:6" x14ac:dyDescent="0.3">
      <c r="B15" s="86" t="s">
        <v>36</v>
      </c>
      <c r="C15" s="87"/>
      <c r="D15" s="97"/>
      <c r="E15" s="97"/>
      <c r="F15" s="97">
        <f>F13-F14</f>
        <v>0</v>
      </c>
    </row>
  </sheetData>
  <mergeCells count="6">
    <mergeCell ref="B13:C13"/>
    <mergeCell ref="B14:C14"/>
    <mergeCell ref="B15:C15"/>
    <mergeCell ref="B1:C1"/>
    <mergeCell ref="B2:C2"/>
    <mergeCell ref="B3:C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70C0"/>
  </sheetPr>
  <dimension ref="B1:F14"/>
  <sheetViews>
    <sheetView workbookViewId="0"/>
  </sheetViews>
  <sheetFormatPr defaultRowHeight="14.4" x14ac:dyDescent="0.3"/>
  <cols>
    <col min="1" max="1" width="2" customWidth="1"/>
    <col min="2" max="2" width="44" customWidth="1"/>
    <col min="3" max="3" width="12" customWidth="1"/>
    <col min="4" max="4" width="30" customWidth="1"/>
    <col min="5" max="5" width="18" customWidth="1"/>
    <col min="6" max="6" width="12.6640625" bestFit="1" customWidth="1"/>
  </cols>
  <sheetData>
    <row r="1" spans="2:6" ht="18" x14ac:dyDescent="0.35">
      <c r="B1" s="95" t="s">
        <v>551</v>
      </c>
      <c r="C1" s="95"/>
      <c r="D1" s="94"/>
      <c r="E1" s="94"/>
      <c r="F1" s="94"/>
    </row>
    <row r="2" spans="2:6" ht="18" x14ac:dyDescent="0.35">
      <c r="B2" s="95" t="s">
        <v>552</v>
      </c>
      <c r="C2" s="95"/>
      <c r="D2" s="94"/>
      <c r="E2" s="94"/>
      <c r="F2" s="94"/>
    </row>
    <row r="3" spans="2:6" x14ac:dyDescent="0.3">
      <c r="B3" s="96" t="s">
        <v>0</v>
      </c>
      <c r="C3" s="96"/>
      <c r="D3" s="94"/>
      <c r="E3" s="94"/>
      <c r="F3" s="94"/>
    </row>
    <row r="5" spans="2:6" ht="18" customHeight="1" x14ac:dyDescent="0.3">
      <c r="B5" s="81" t="s">
        <v>216</v>
      </c>
      <c r="C5" s="1" t="s">
        <v>2</v>
      </c>
      <c r="D5" s="81" t="s">
        <v>675</v>
      </c>
      <c r="E5" s="137" t="s">
        <v>45</v>
      </c>
      <c r="F5" s="110" t="s">
        <v>152</v>
      </c>
    </row>
    <row r="6" spans="2:6" x14ac:dyDescent="0.3">
      <c r="B6" s="2" t="s">
        <v>218</v>
      </c>
      <c r="C6" s="3" t="s">
        <v>217</v>
      </c>
      <c r="D6" s="2"/>
      <c r="E6" s="4">
        <v>48084.480000000003</v>
      </c>
      <c r="F6" s="4">
        <f>SUM(D6:E6)</f>
        <v>48084.480000000003</v>
      </c>
    </row>
    <row r="7" spans="2:6" x14ac:dyDescent="0.3">
      <c r="B7" s="5" t="s">
        <v>220</v>
      </c>
      <c r="C7" s="6" t="s">
        <v>219</v>
      </c>
      <c r="D7" s="5"/>
      <c r="E7" s="7">
        <v>40976.04</v>
      </c>
      <c r="F7" s="7">
        <f t="shared" ref="F7:F10" si="0">SUM(D7:E7)</f>
        <v>40976.04</v>
      </c>
    </row>
    <row r="8" spans="2:6" x14ac:dyDescent="0.3">
      <c r="B8" s="2" t="s">
        <v>220</v>
      </c>
      <c r="C8" s="3" t="s">
        <v>221</v>
      </c>
      <c r="D8" s="2"/>
      <c r="E8" s="4">
        <v>92969.11</v>
      </c>
      <c r="F8" s="4">
        <f t="shared" si="0"/>
        <v>92969.11</v>
      </c>
    </row>
    <row r="9" spans="2:6" x14ac:dyDescent="0.3">
      <c r="B9" s="5" t="s">
        <v>223</v>
      </c>
      <c r="C9" s="6" t="s">
        <v>222</v>
      </c>
      <c r="D9" s="5"/>
      <c r="E9" s="7">
        <v>28807.27</v>
      </c>
      <c r="F9" s="7">
        <f t="shared" si="0"/>
        <v>28807.27</v>
      </c>
    </row>
    <row r="10" spans="2:6" x14ac:dyDescent="0.3">
      <c r="B10" s="2" t="s">
        <v>225</v>
      </c>
      <c r="C10" s="3" t="s">
        <v>224</v>
      </c>
      <c r="D10" s="2"/>
      <c r="E10" s="4">
        <v>36486.06</v>
      </c>
      <c r="F10" s="4">
        <f t="shared" si="0"/>
        <v>36486.06</v>
      </c>
    </row>
    <row r="11" spans="2:6" ht="15" thickBot="1" x14ac:dyDescent="0.35">
      <c r="B11" s="9"/>
      <c r="C11" s="9"/>
      <c r="D11" s="9"/>
      <c r="E11" s="9"/>
    </row>
    <row r="12" spans="2:6" x14ac:dyDescent="0.3">
      <c r="B12" s="89" t="s">
        <v>34</v>
      </c>
      <c r="C12" s="90"/>
      <c r="D12" s="91"/>
      <c r="E12" s="91"/>
      <c r="F12" s="114">
        <f>SUM(F6:F10)</f>
        <v>247322.96</v>
      </c>
    </row>
    <row r="13" spans="2:6" x14ac:dyDescent="0.3">
      <c r="B13" s="82" t="s">
        <v>35</v>
      </c>
      <c r="C13" s="92"/>
      <c r="D13" s="88"/>
      <c r="E13" s="88"/>
      <c r="F13" s="88">
        <f>VLOOKUP(B1,'Trial Balance'!$A:$F,6,0)</f>
        <v>247320.99</v>
      </c>
    </row>
    <row r="14" spans="2:6" x14ac:dyDescent="0.3">
      <c r="B14" s="86" t="s">
        <v>36</v>
      </c>
      <c r="C14" s="87"/>
      <c r="D14" s="97"/>
      <c r="E14" s="97"/>
      <c r="F14" s="97">
        <f>F12-F13</f>
        <v>1.9700000000011642</v>
      </c>
    </row>
  </sheetData>
  <mergeCells count="6">
    <mergeCell ref="B12:C12"/>
    <mergeCell ref="B13:C13"/>
    <mergeCell ref="B14:C14"/>
    <mergeCell ref="B1:C1"/>
    <mergeCell ref="B2:C2"/>
    <mergeCell ref="B3:C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70C0"/>
  </sheetPr>
  <dimension ref="B1:F14"/>
  <sheetViews>
    <sheetView workbookViewId="0"/>
  </sheetViews>
  <sheetFormatPr defaultRowHeight="14.4" x14ac:dyDescent="0.3"/>
  <cols>
    <col min="1" max="1" width="2" customWidth="1"/>
    <col min="2" max="2" width="44" customWidth="1"/>
    <col min="3" max="3" width="12" customWidth="1"/>
    <col min="4" max="4" width="30" customWidth="1"/>
    <col min="5" max="5" width="18" customWidth="1"/>
    <col min="6" max="6" width="13.77734375" bestFit="1" customWidth="1"/>
  </cols>
  <sheetData>
    <row r="1" spans="2:6" ht="18" x14ac:dyDescent="0.35">
      <c r="B1" s="95" t="s">
        <v>553</v>
      </c>
      <c r="C1" s="95"/>
      <c r="D1" s="94"/>
      <c r="E1" s="94"/>
      <c r="F1" s="94"/>
    </row>
    <row r="2" spans="2:6" ht="18" x14ac:dyDescent="0.35">
      <c r="B2" s="95" t="s">
        <v>671</v>
      </c>
      <c r="C2" s="95"/>
      <c r="D2" s="94"/>
      <c r="E2" s="94"/>
      <c r="F2" s="94"/>
    </row>
    <row r="3" spans="2:6" x14ac:dyDescent="0.3">
      <c r="B3" s="96" t="s">
        <v>0</v>
      </c>
      <c r="C3" s="96"/>
      <c r="D3" s="94"/>
      <c r="E3" s="94"/>
      <c r="F3" s="94"/>
    </row>
    <row r="5" spans="2:6" ht="18" customHeight="1" x14ac:dyDescent="0.3">
      <c r="B5" s="81" t="s">
        <v>216</v>
      </c>
      <c r="C5" s="1" t="s">
        <v>2</v>
      </c>
      <c r="D5" s="81" t="s">
        <v>675</v>
      </c>
      <c r="E5" s="137" t="s">
        <v>45</v>
      </c>
      <c r="F5" s="110" t="s">
        <v>152</v>
      </c>
    </row>
    <row r="6" spans="2:6" x14ac:dyDescent="0.3">
      <c r="B6" s="2" t="s">
        <v>218</v>
      </c>
      <c r="C6" s="3" t="s">
        <v>217</v>
      </c>
      <c r="D6" s="2"/>
      <c r="E6" s="4">
        <v>6775780</v>
      </c>
      <c r="F6" s="4">
        <f>SUM(D6:E6)</f>
        <v>6775780</v>
      </c>
    </row>
    <row r="7" spans="2:6" x14ac:dyDescent="0.3">
      <c r="B7" s="5" t="s">
        <v>220</v>
      </c>
      <c r="C7" s="6" t="s">
        <v>219</v>
      </c>
      <c r="D7" s="5"/>
      <c r="E7" s="7">
        <v>6078000</v>
      </c>
      <c r="F7" s="7">
        <f t="shared" ref="F7:F10" si="0">SUM(D7:E7)</f>
        <v>6078000</v>
      </c>
    </row>
    <row r="8" spans="2:6" x14ac:dyDescent="0.3">
      <c r="B8" s="2" t="s">
        <v>220</v>
      </c>
      <c r="C8" s="3" t="s">
        <v>221</v>
      </c>
      <c r="D8" s="2"/>
      <c r="E8" s="4">
        <v>12710804.67</v>
      </c>
      <c r="F8" s="4">
        <f t="shared" si="0"/>
        <v>12710804.67</v>
      </c>
    </row>
    <row r="9" spans="2:6" x14ac:dyDescent="0.3">
      <c r="B9" s="5" t="s">
        <v>223</v>
      </c>
      <c r="C9" s="6" t="s">
        <v>222</v>
      </c>
      <c r="D9" s="5"/>
      <c r="E9" s="7">
        <v>4273000</v>
      </c>
      <c r="F9" s="7">
        <f t="shared" si="0"/>
        <v>4273000</v>
      </c>
    </row>
    <row r="10" spans="2:6" x14ac:dyDescent="0.3">
      <c r="B10" s="2" t="s">
        <v>225</v>
      </c>
      <c r="C10" s="3" t="s">
        <v>224</v>
      </c>
      <c r="D10" s="2"/>
      <c r="E10" s="4">
        <v>6375751.8499999996</v>
      </c>
      <c r="F10" s="4">
        <f t="shared" si="0"/>
        <v>6375751.8499999996</v>
      </c>
    </row>
    <row r="11" spans="2:6" ht="15" thickBot="1" x14ac:dyDescent="0.35">
      <c r="B11" s="9"/>
      <c r="C11" s="9"/>
      <c r="D11" s="9"/>
      <c r="E11" s="9"/>
    </row>
    <row r="12" spans="2:6" x14ac:dyDescent="0.3">
      <c r="B12" s="89" t="s">
        <v>34</v>
      </c>
      <c r="C12" s="90"/>
      <c r="D12" s="91"/>
      <c r="E12" s="91"/>
      <c r="F12" s="114">
        <f>SUM(F6:F10)</f>
        <v>36213336.520000003</v>
      </c>
    </row>
    <row r="13" spans="2:6" x14ac:dyDescent="0.3">
      <c r="B13" s="82" t="s">
        <v>35</v>
      </c>
      <c r="C13" s="92"/>
      <c r="D13" s="88"/>
      <c r="E13" s="88"/>
      <c r="F13" s="88">
        <f>VLOOKUP(B1,'Trial Balance'!$A:$F,6,0)</f>
        <v>36213336.520000003</v>
      </c>
    </row>
    <row r="14" spans="2:6" x14ac:dyDescent="0.3">
      <c r="B14" s="86" t="s">
        <v>36</v>
      </c>
      <c r="C14" s="87"/>
      <c r="D14" s="97"/>
      <c r="E14" s="97"/>
      <c r="F14" s="97">
        <f>F12-F13</f>
        <v>0</v>
      </c>
    </row>
  </sheetData>
  <mergeCells count="6">
    <mergeCell ref="B12:C12"/>
    <mergeCell ref="B13:C13"/>
    <mergeCell ref="B14:C14"/>
    <mergeCell ref="B1:C1"/>
    <mergeCell ref="B2:C2"/>
    <mergeCell ref="B3:C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70C0"/>
  </sheetPr>
  <dimension ref="B1:F14"/>
  <sheetViews>
    <sheetView workbookViewId="0"/>
  </sheetViews>
  <sheetFormatPr defaultRowHeight="14.4" x14ac:dyDescent="0.3"/>
  <cols>
    <col min="1" max="1" width="2" customWidth="1"/>
    <col min="2" max="2" width="14" customWidth="1"/>
    <col min="3" max="3" width="44" customWidth="1"/>
    <col min="4" max="6" width="16" customWidth="1"/>
  </cols>
  <sheetData>
    <row r="1" spans="2:6" ht="18" x14ac:dyDescent="0.35">
      <c r="B1" s="95" t="s">
        <v>555</v>
      </c>
      <c r="C1" s="95"/>
      <c r="D1" s="94"/>
      <c r="E1" s="94"/>
      <c r="F1" s="94"/>
    </row>
    <row r="2" spans="2:6" ht="18" x14ac:dyDescent="0.35">
      <c r="B2" s="95" t="s">
        <v>672</v>
      </c>
      <c r="C2" s="95"/>
      <c r="D2" s="94"/>
      <c r="E2" s="94"/>
      <c r="F2" s="94"/>
    </row>
    <row r="3" spans="2:6" x14ac:dyDescent="0.3">
      <c r="B3" s="96" t="s">
        <v>0</v>
      </c>
      <c r="C3" s="96"/>
      <c r="D3" s="94"/>
      <c r="E3" s="94"/>
      <c r="F3" s="94"/>
    </row>
    <row r="5" spans="2:6" ht="18" customHeight="1" x14ac:dyDescent="0.3">
      <c r="B5" s="1" t="s">
        <v>1</v>
      </c>
      <c r="C5" s="1" t="s">
        <v>2</v>
      </c>
      <c r="D5" s="1" t="s">
        <v>45</v>
      </c>
      <c r="E5" s="1" t="s">
        <v>227</v>
      </c>
      <c r="F5" s="1" t="s">
        <v>152</v>
      </c>
    </row>
    <row r="6" spans="2:6" x14ac:dyDescent="0.3">
      <c r="B6" s="148" t="s">
        <v>228</v>
      </c>
      <c r="C6" s="3" t="s">
        <v>229</v>
      </c>
      <c r="D6" s="4">
        <v>0</v>
      </c>
      <c r="E6" s="4">
        <v>0</v>
      </c>
      <c r="F6" s="4">
        <v>0</v>
      </c>
    </row>
    <row r="7" spans="2:6" x14ac:dyDescent="0.3">
      <c r="B7" s="149" t="s">
        <v>230</v>
      </c>
      <c r="C7" s="6" t="s">
        <v>231</v>
      </c>
      <c r="D7" s="7">
        <v>230260.49</v>
      </c>
      <c r="E7" s="7">
        <v>0</v>
      </c>
      <c r="F7" s="7">
        <v>230260.49</v>
      </c>
    </row>
    <row r="8" spans="2:6" x14ac:dyDescent="0.3">
      <c r="B8" s="148" t="s">
        <v>130</v>
      </c>
      <c r="C8" s="3" t="s">
        <v>232</v>
      </c>
      <c r="D8" s="4">
        <v>3000</v>
      </c>
      <c r="E8" s="4">
        <v>0</v>
      </c>
      <c r="F8" s="4">
        <v>3000</v>
      </c>
    </row>
    <row r="9" spans="2:6" x14ac:dyDescent="0.3">
      <c r="B9" s="149" t="s">
        <v>130</v>
      </c>
      <c r="C9" s="6" t="s">
        <v>233</v>
      </c>
      <c r="D9" s="7">
        <v>230260.49</v>
      </c>
      <c r="E9" s="7">
        <v>0</v>
      </c>
      <c r="F9" s="7">
        <v>230260.49</v>
      </c>
    </row>
    <row r="10" spans="2:6" x14ac:dyDescent="0.3">
      <c r="B10" s="148" t="s">
        <v>130</v>
      </c>
      <c r="C10" s="3" t="s">
        <v>234</v>
      </c>
      <c r="D10" s="4">
        <v>1500</v>
      </c>
      <c r="E10" s="4">
        <v>0</v>
      </c>
      <c r="F10" s="4">
        <v>1500</v>
      </c>
    </row>
    <row r="11" spans="2:6" ht="15" thickBot="1" x14ac:dyDescent="0.35">
      <c r="B11" s="135"/>
      <c r="C11" s="133"/>
      <c r="D11" s="134"/>
      <c r="E11" s="134"/>
      <c r="F11" s="136"/>
    </row>
    <row r="12" spans="2:6" x14ac:dyDescent="0.3">
      <c r="B12" s="89" t="s">
        <v>34</v>
      </c>
      <c r="C12" s="90"/>
      <c r="D12" s="91"/>
      <c r="E12" s="91"/>
      <c r="F12" s="114">
        <f>SUM(F6:F10)</f>
        <v>465020.98</v>
      </c>
    </row>
    <row r="13" spans="2:6" x14ac:dyDescent="0.3">
      <c r="B13" s="82" t="s">
        <v>35</v>
      </c>
      <c r="C13" s="92"/>
      <c r="D13" s="88"/>
      <c r="E13" s="88"/>
      <c r="F13" s="88">
        <f>VLOOKUP(B1,'Trial Balance'!$A:$F,6,0)</f>
        <v>465020.98</v>
      </c>
    </row>
    <row r="14" spans="2:6" x14ac:dyDescent="0.3">
      <c r="B14" s="86" t="s">
        <v>36</v>
      </c>
      <c r="C14" s="87"/>
      <c r="D14" s="97"/>
      <c r="E14" s="97"/>
      <c r="F14" s="97">
        <v>0</v>
      </c>
    </row>
  </sheetData>
  <mergeCells count="6">
    <mergeCell ref="B12:C12"/>
    <mergeCell ref="B13:C13"/>
    <mergeCell ref="B14:C14"/>
    <mergeCell ref="B1:C1"/>
    <mergeCell ref="B2:C2"/>
    <mergeCell ref="B3:C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70C0"/>
  </sheetPr>
  <dimension ref="A1:Q18"/>
  <sheetViews>
    <sheetView workbookViewId="0">
      <selection sqref="A1:Q1"/>
    </sheetView>
  </sheetViews>
  <sheetFormatPr defaultRowHeight="14.4" x14ac:dyDescent="0.3"/>
  <cols>
    <col min="1" max="1" width="11.44140625" customWidth="1"/>
    <col min="2" max="2" width="14.33203125" customWidth="1"/>
    <col min="3" max="3" width="28.5546875" customWidth="1"/>
    <col min="4" max="4" width="14.33203125" customWidth="1"/>
    <col min="5" max="5" width="8.5546875" customWidth="1"/>
    <col min="6" max="6" width="10" customWidth="1"/>
    <col min="7" max="7" width="11.44140625" customWidth="1"/>
    <col min="9" max="9" width="21.44140625" customWidth="1"/>
    <col min="10" max="10" width="11.44140625" customWidth="1"/>
    <col min="17" max="17" width="25.6640625" customWidth="1"/>
  </cols>
  <sheetData>
    <row r="1" spans="1:17" ht="15.75" customHeight="1" x14ac:dyDescent="0.3">
      <c r="A1" s="78" t="s">
        <v>235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 spans="1:17" ht="15" customHeight="1" x14ac:dyDescent="0.3">
      <c r="A2" s="75" t="s">
        <v>236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 spans="1:17" ht="15" customHeight="1" x14ac:dyDescent="0.3">
      <c r="A3" s="75" t="s">
        <v>237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 spans="1:17" ht="15" customHeight="1" x14ac:dyDescent="0.3">
      <c r="A4" s="75" t="s">
        <v>238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 spans="1:17" ht="15" customHeight="1" x14ac:dyDescent="0.3">
      <c r="A5" s="33" t="s">
        <v>16</v>
      </c>
      <c r="B5" s="33" t="s">
        <v>239</v>
      </c>
      <c r="C5" s="18" t="s">
        <v>240</v>
      </c>
      <c r="D5" s="33" t="s">
        <v>241</v>
      </c>
      <c r="E5" s="33" t="s">
        <v>242</v>
      </c>
      <c r="F5" s="33" t="s">
        <v>243</v>
      </c>
      <c r="G5" s="33" t="s">
        <v>169</v>
      </c>
      <c r="H5" s="33" t="s">
        <v>244</v>
      </c>
      <c r="I5" s="33" t="s">
        <v>245</v>
      </c>
      <c r="J5" s="33" t="s">
        <v>246</v>
      </c>
      <c r="K5" s="33" t="s">
        <v>148</v>
      </c>
      <c r="L5" s="33" t="s">
        <v>149</v>
      </c>
      <c r="M5" s="33" t="s">
        <v>150</v>
      </c>
      <c r="N5" s="33" t="s">
        <v>151</v>
      </c>
      <c r="O5" s="33" t="s">
        <v>175</v>
      </c>
      <c r="P5" s="33" t="s">
        <v>247</v>
      </c>
      <c r="Q5" s="18" t="s">
        <v>248</v>
      </c>
    </row>
    <row r="6" spans="1:17" ht="15" customHeight="1" x14ac:dyDescent="0.3">
      <c r="A6" s="34" t="s">
        <v>177</v>
      </c>
      <c r="B6" s="34"/>
      <c r="C6" s="20"/>
      <c r="D6" s="34" t="s">
        <v>248</v>
      </c>
      <c r="E6" s="34"/>
      <c r="F6" s="34"/>
      <c r="G6" s="34"/>
      <c r="H6" s="34"/>
      <c r="I6" s="34"/>
      <c r="J6" s="34"/>
      <c r="K6" s="34" t="s">
        <v>178</v>
      </c>
      <c r="L6" s="34" t="s">
        <v>178</v>
      </c>
      <c r="M6" s="34" t="s">
        <v>178</v>
      </c>
      <c r="N6" s="34" t="s">
        <v>178</v>
      </c>
      <c r="O6" s="34" t="s">
        <v>249</v>
      </c>
      <c r="P6" s="34" t="s">
        <v>241</v>
      </c>
      <c r="Q6" s="20"/>
    </row>
    <row r="7" spans="1:17" ht="15" customHeight="1" x14ac:dyDescent="0.3">
      <c r="A7" s="34"/>
      <c r="B7" s="34"/>
      <c r="C7" s="20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 t="s">
        <v>178</v>
      </c>
      <c r="P7" s="34"/>
      <c r="Q7" s="20"/>
    </row>
    <row r="8" spans="1:17" ht="15" customHeight="1" x14ac:dyDescent="0.3">
      <c r="A8" s="35" t="s">
        <v>250</v>
      </c>
      <c r="B8" s="35"/>
      <c r="C8" s="36" t="s">
        <v>8</v>
      </c>
      <c r="D8" s="36"/>
      <c r="E8" s="35"/>
      <c r="F8" s="35"/>
      <c r="G8" s="35"/>
      <c r="H8" s="35"/>
      <c r="I8" s="35"/>
      <c r="J8" s="35"/>
      <c r="K8" s="37"/>
      <c r="L8" s="37"/>
      <c r="M8" s="37"/>
      <c r="N8" s="37"/>
      <c r="O8" s="37"/>
      <c r="P8" s="38">
        <v>0</v>
      </c>
      <c r="Q8" s="36"/>
    </row>
    <row r="9" spans="1:17" ht="15" customHeight="1" x14ac:dyDescent="0.3">
      <c r="A9" s="73"/>
      <c r="B9" s="62"/>
      <c r="C9" s="62"/>
      <c r="D9" s="39"/>
      <c r="E9" s="39" t="s">
        <v>251</v>
      </c>
      <c r="F9" s="39" t="s">
        <v>252</v>
      </c>
      <c r="G9" s="39" t="s">
        <v>183</v>
      </c>
      <c r="H9" s="40">
        <v>46021</v>
      </c>
      <c r="I9" s="31" t="s">
        <v>253</v>
      </c>
      <c r="J9" s="39" t="s">
        <v>254</v>
      </c>
      <c r="K9" s="41">
        <v>-1158.1500000000001</v>
      </c>
      <c r="L9" s="41">
        <v>0</v>
      </c>
      <c r="M9" s="41">
        <v>-1158.1500000000001</v>
      </c>
      <c r="N9" s="41">
        <v>0</v>
      </c>
      <c r="O9" s="41">
        <v>0</v>
      </c>
      <c r="P9" s="41">
        <v>0</v>
      </c>
      <c r="Q9" s="31" t="s">
        <v>255</v>
      </c>
    </row>
    <row r="10" spans="1:17" ht="15" customHeight="1" x14ac:dyDescent="0.3">
      <c r="A10" s="73"/>
      <c r="B10" s="62"/>
      <c r="C10" s="62"/>
      <c r="D10" s="39"/>
      <c r="E10" s="39" t="s">
        <v>256</v>
      </c>
      <c r="F10" s="39" t="s">
        <v>257</v>
      </c>
      <c r="G10" s="39" t="s">
        <v>183</v>
      </c>
      <c r="H10" s="40">
        <v>46031</v>
      </c>
      <c r="I10" s="31" t="s">
        <v>258</v>
      </c>
      <c r="J10" s="39" t="s">
        <v>259</v>
      </c>
      <c r="K10" s="41">
        <v>-50237.93</v>
      </c>
      <c r="L10" s="41">
        <v>-50237.93</v>
      </c>
      <c r="M10" s="41">
        <v>0</v>
      </c>
      <c r="N10" s="41">
        <v>0</v>
      </c>
      <c r="O10" s="41">
        <v>0</v>
      </c>
      <c r="P10" s="41">
        <v>0</v>
      </c>
      <c r="Q10" s="31" t="s">
        <v>260</v>
      </c>
    </row>
    <row r="11" spans="1:17" ht="15" customHeight="1" x14ac:dyDescent="0.3">
      <c r="A11" s="73"/>
      <c r="B11" s="62"/>
      <c r="C11" s="62"/>
      <c r="D11" s="39"/>
      <c r="E11" s="39" t="s">
        <v>256</v>
      </c>
      <c r="F11" s="39" t="s">
        <v>257</v>
      </c>
      <c r="G11" s="39" t="s">
        <v>183</v>
      </c>
      <c r="H11" s="40">
        <v>46031</v>
      </c>
      <c r="I11" s="31" t="s">
        <v>253</v>
      </c>
      <c r="J11" s="39" t="s">
        <v>259</v>
      </c>
      <c r="K11" s="41">
        <v>10073.5</v>
      </c>
      <c r="L11" s="41">
        <v>10073.5</v>
      </c>
      <c r="M11" s="41">
        <v>0</v>
      </c>
      <c r="N11" s="41">
        <v>0</v>
      </c>
      <c r="O11" s="41">
        <v>0</v>
      </c>
      <c r="P11" s="41">
        <v>0</v>
      </c>
      <c r="Q11" s="31" t="s">
        <v>261</v>
      </c>
    </row>
    <row r="12" spans="1:17" ht="15" customHeight="1" x14ac:dyDescent="0.3">
      <c r="A12" s="73"/>
      <c r="B12" s="62"/>
      <c r="C12" s="62"/>
      <c r="D12" s="39"/>
      <c r="E12" s="39" t="s">
        <v>262</v>
      </c>
      <c r="F12" s="39" t="s">
        <v>263</v>
      </c>
      <c r="G12" s="39" t="s">
        <v>183</v>
      </c>
      <c r="H12" s="40">
        <v>46035</v>
      </c>
      <c r="I12" s="31" t="s">
        <v>264</v>
      </c>
      <c r="J12" s="39" t="s">
        <v>265</v>
      </c>
      <c r="K12" s="41">
        <v>14168.79</v>
      </c>
      <c r="L12" s="41">
        <v>14168.79</v>
      </c>
      <c r="M12" s="41">
        <v>0</v>
      </c>
      <c r="N12" s="41">
        <v>0</v>
      </c>
      <c r="O12" s="41">
        <v>0</v>
      </c>
      <c r="P12" s="41">
        <v>0</v>
      </c>
      <c r="Q12" s="31" t="s">
        <v>266</v>
      </c>
    </row>
    <row r="13" spans="1:17" ht="15" customHeight="1" x14ac:dyDescent="0.3">
      <c r="A13" s="73"/>
      <c r="B13" s="62"/>
      <c r="C13" s="62"/>
      <c r="D13" s="39"/>
      <c r="E13" s="39" t="s">
        <v>267</v>
      </c>
      <c r="F13" s="39" t="s">
        <v>268</v>
      </c>
      <c r="G13" s="39" t="s">
        <v>183</v>
      </c>
      <c r="H13" s="40">
        <v>46029</v>
      </c>
      <c r="I13" s="31" t="s">
        <v>269</v>
      </c>
      <c r="J13" s="39" t="s">
        <v>270</v>
      </c>
      <c r="K13" s="41">
        <v>527.67999999999995</v>
      </c>
      <c r="L13" s="41">
        <v>527.67999999999995</v>
      </c>
      <c r="M13" s="41">
        <v>0</v>
      </c>
      <c r="N13" s="41">
        <v>0</v>
      </c>
      <c r="O13" s="41">
        <v>0</v>
      </c>
      <c r="P13" s="41">
        <v>0</v>
      </c>
      <c r="Q13" s="31" t="s">
        <v>271</v>
      </c>
    </row>
    <row r="14" spans="1:17" ht="15" customHeight="1" x14ac:dyDescent="0.3">
      <c r="A14" s="73"/>
      <c r="B14" s="62"/>
      <c r="C14" s="62"/>
      <c r="D14" s="39"/>
      <c r="E14" s="39" t="s">
        <v>267</v>
      </c>
      <c r="F14" s="39" t="s">
        <v>268</v>
      </c>
      <c r="G14" s="39" t="s">
        <v>183</v>
      </c>
      <c r="H14" s="40">
        <v>46029</v>
      </c>
      <c r="I14" s="31" t="s">
        <v>269</v>
      </c>
      <c r="J14" s="39" t="s">
        <v>270</v>
      </c>
      <c r="K14" s="41">
        <v>14159.24</v>
      </c>
      <c r="L14" s="41">
        <v>14159.24</v>
      </c>
      <c r="M14" s="41">
        <v>0</v>
      </c>
      <c r="N14" s="41">
        <v>0</v>
      </c>
      <c r="O14" s="41">
        <v>0</v>
      </c>
      <c r="P14" s="41">
        <v>0</v>
      </c>
      <c r="Q14" s="31" t="s">
        <v>272</v>
      </c>
    </row>
    <row r="15" spans="1:17" ht="15" customHeight="1" x14ac:dyDescent="0.3">
      <c r="A15" s="74"/>
      <c r="B15" s="69"/>
      <c r="C15" s="69"/>
      <c r="D15" s="42"/>
      <c r="E15" s="42" t="s">
        <v>267</v>
      </c>
      <c r="F15" s="42" t="s">
        <v>268</v>
      </c>
      <c r="G15" s="42" t="s">
        <v>183</v>
      </c>
      <c r="H15" s="43">
        <v>46029</v>
      </c>
      <c r="I15" s="32" t="s">
        <v>258</v>
      </c>
      <c r="J15" s="42" t="s">
        <v>270</v>
      </c>
      <c r="K15" s="44">
        <v>7554.8</v>
      </c>
      <c r="L15" s="44">
        <v>7554.8</v>
      </c>
      <c r="M15" s="44">
        <v>0</v>
      </c>
      <c r="N15" s="44">
        <v>0</v>
      </c>
      <c r="O15" s="44">
        <v>0</v>
      </c>
      <c r="P15" s="44">
        <v>0</v>
      </c>
      <c r="Q15" s="32" t="s">
        <v>273</v>
      </c>
    </row>
    <row r="16" spans="1:17" ht="15" customHeight="1" x14ac:dyDescent="0.3">
      <c r="A16" s="76" t="s">
        <v>274</v>
      </c>
      <c r="B16" s="77"/>
      <c r="C16" s="77"/>
      <c r="D16" s="45"/>
      <c r="E16" s="45"/>
      <c r="F16" s="45"/>
      <c r="G16" s="45"/>
      <c r="H16" s="45"/>
      <c r="I16" s="45"/>
      <c r="J16" s="45"/>
      <c r="K16" s="46">
        <v>-4912.07</v>
      </c>
      <c r="L16" s="46">
        <v>-3753.92</v>
      </c>
      <c r="M16" s="46">
        <v>-1158.1500000000001</v>
      </c>
      <c r="N16" s="46">
        <v>0</v>
      </c>
      <c r="O16" s="46">
        <v>0</v>
      </c>
      <c r="P16" s="46">
        <v>0</v>
      </c>
      <c r="Q16" s="28"/>
    </row>
    <row r="17" spans="1:17" ht="15" customHeight="1" x14ac:dyDescent="0.3">
      <c r="A17" s="74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</row>
    <row r="18" spans="1:17" ht="15" customHeight="1" x14ac:dyDescent="0.3">
      <c r="A18" s="76" t="s">
        <v>275</v>
      </c>
      <c r="B18" s="77"/>
      <c r="C18" s="77"/>
      <c r="D18" s="77"/>
      <c r="E18" s="77"/>
      <c r="F18" s="77"/>
      <c r="G18" s="77"/>
      <c r="H18" s="77"/>
      <c r="I18" s="77"/>
      <c r="J18" s="77"/>
      <c r="K18" s="46">
        <v>-4912.07</v>
      </c>
      <c r="L18" s="46">
        <v>-3753.92</v>
      </c>
      <c r="M18" s="46">
        <v>-1158.1500000000001</v>
      </c>
      <c r="N18" s="46">
        <v>0</v>
      </c>
      <c r="O18" s="46">
        <v>0</v>
      </c>
      <c r="P18" s="46">
        <v>0</v>
      </c>
      <c r="Q18" s="47"/>
    </row>
  </sheetData>
  <mergeCells count="14">
    <mergeCell ref="A1:Q1"/>
    <mergeCell ref="A16:C16"/>
    <mergeCell ref="A15:C15"/>
    <mergeCell ref="A18:J18"/>
    <mergeCell ref="A14:C14"/>
    <mergeCell ref="A4:Q4"/>
    <mergeCell ref="A2:Q2"/>
    <mergeCell ref="A9:C9"/>
    <mergeCell ref="A12:C12"/>
    <mergeCell ref="A10:C10"/>
    <mergeCell ref="A17:Q17"/>
    <mergeCell ref="A13:C13"/>
    <mergeCell ref="A11:C11"/>
    <mergeCell ref="A3:Q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70C0"/>
  </sheetPr>
  <dimension ref="B1:E11"/>
  <sheetViews>
    <sheetView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defaultRowHeight="14.4" x14ac:dyDescent="0.3"/>
  <cols>
    <col min="1" max="1" width="2" customWidth="1"/>
    <col min="2" max="2" width="10" customWidth="1"/>
    <col min="3" max="4" width="28" customWidth="1"/>
    <col min="5" max="5" width="24" customWidth="1"/>
  </cols>
  <sheetData>
    <row r="1" spans="2:5" ht="18" x14ac:dyDescent="0.35">
      <c r="B1" s="95" t="s">
        <v>279</v>
      </c>
      <c r="C1" s="95"/>
      <c r="D1" s="95"/>
      <c r="E1" s="95"/>
    </row>
    <row r="2" spans="2:5" ht="18" x14ac:dyDescent="0.35">
      <c r="B2" s="95" t="s">
        <v>559</v>
      </c>
      <c r="C2" s="95"/>
      <c r="D2" s="95"/>
      <c r="E2" s="95"/>
    </row>
    <row r="3" spans="2:5" x14ac:dyDescent="0.3">
      <c r="B3" s="96" t="s">
        <v>276</v>
      </c>
      <c r="C3" s="96"/>
      <c r="D3" s="96"/>
      <c r="E3" s="96"/>
    </row>
    <row r="5" spans="2:5" ht="24" customHeight="1" x14ac:dyDescent="0.3">
      <c r="B5" s="1" t="s">
        <v>1</v>
      </c>
      <c r="C5" s="1" t="s">
        <v>2</v>
      </c>
      <c r="D5" s="81" t="s">
        <v>192</v>
      </c>
      <c r="E5" s="1" t="s">
        <v>17</v>
      </c>
    </row>
    <row r="7" spans="2:5" ht="15" thickBot="1" x14ac:dyDescent="0.35"/>
    <row r="8" spans="2:5" x14ac:dyDescent="0.3">
      <c r="B8" s="89" t="s">
        <v>34</v>
      </c>
      <c r="C8" s="90"/>
      <c r="D8" s="107"/>
      <c r="E8" s="91">
        <f>SUM(E6:E7)</f>
        <v>0</v>
      </c>
    </row>
    <row r="9" spans="2:5" x14ac:dyDescent="0.3">
      <c r="B9" s="82" t="s">
        <v>35</v>
      </c>
      <c r="C9" s="92"/>
      <c r="D9" s="84"/>
      <c r="E9" s="88">
        <f>VLOOKUP(B1,'Trial Balance'!$A:$F,6,0)</f>
        <v>0</v>
      </c>
    </row>
    <row r="10" spans="2:5" x14ac:dyDescent="0.3">
      <c r="B10" s="86" t="s">
        <v>36</v>
      </c>
      <c r="C10" s="87"/>
      <c r="D10" s="108"/>
      <c r="E10" s="97">
        <f>E8-E9</f>
        <v>0</v>
      </c>
    </row>
    <row r="11" spans="2:5" x14ac:dyDescent="0.3">
      <c r="E11" s="49"/>
    </row>
  </sheetData>
  <mergeCells count="6">
    <mergeCell ref="B1:E1"/>
    <mergeCell ref="B3:E3"/>
    <mergeCell ref="B8:C8"/>
    <mergeCell ref="B9:C9"/>
    <mergeCell ref="B10:C10"/>
    <mergeCell ref="B2:E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70C0"/>
  </sheetPr>
  <dimension ref="B1:F17"/>
  <sheetViews>
    <sheetView workbookViewId="0"/>
  </sheetViews>
  <sheetFormatPr defaultRowHeight="14.4" x14ac:dyDescent="0.3"/>
  <cols>
    <col min="1" max="1" width="2" customWidth="1"/>
    <col min="2" max="2" width="14" customWidth="1"/>
    <col min="3" max="3" width="10.5546875" style="154" bestFit="1" customWidth="1"/>
    <col min="4" max="4" width="58" customWidth="1"/>
    <col min="5" max="5" width="58" style="154" customWidth="1"/>
    <col min="6" max="6" width="18" customWidth="1"/>
  </cols>
  <sheetData>
    <row r="1" spans="2:6" ht="18" x14ac:dyDescent="0.35">
      <c r="B1" s="95" t="s">
        <v>560</v>
      </c>
      <c r="C1" s="95"/>
      <c r="D1" s="95"/>
      <c r="E1" s="95"/>
      <c r="F1" s="98"/>
    </row>
    <row r="2" spans="2:6" ht="18" x14ac:dyDescent="0.35">
      <c r="B2" s="95" t="s">
        <v>561</v>
      </c>
      <c r="C2" s="95"/>
      <c r="D2" s="95"/>
      <c r="E2" s="95"/>
      <c r="F2" s="98"/>
    </row>
    <row r="3" spans="2:6" x14ac:dyDescent="0.3">
      <c r="B3" s="96" t="s">
        <v>0</v>
      </c>
      <c r="C3" s="96"/>
      <c r="D3" s="96"/>
      <c r="E3" s="96"/>
      <c r="F3" s="140"/>
    </row>
    <row r="5" spans="2:6" ht="18" customHeight="1" x14ac:dyDescent="0.3">
      <c r="B5" s="1" t="s">
        <v>1</v>
      </c>
      <c r="C5" s="81" t="s">
        <v>192</v>
      </c>
      <c r="D5" s="1" t="s">
        <v>2</v>
      </c>
      <c r="E5" s="81" t="s">
        <v>194</v>
      </c>
      <c r="F5" s="1" t="s">
        <v>17</v>
      </c>
    </row>
    <row r="6" spans="2:6" x14ac:dyDescent="0.3">
      <c r="B6" s="5" t="s">
        <v>280</v>
      </c>
      <c r="C6" s="5"/>
      <c r="D6" s="6"/>
      <c r="E6" s="6"/>
      <c r="F6" s="7"/>
    </row>
    <row r="7" spans="2:6" x14ac:dyDescent="0.3">
      <c r="B7" s="2" t="s">
        <v>280</v>
      </c>
      <c r="C7" s="2"/>
      <c r="D7" s="3"/>
      <c r="E7" s="3"/>
      <c r="F7" s="4"/>
    </row>
    <row r="8" spans="2:6" x14ac:dyDescent="0.3">
      <c r="B8" s="5" t="s">
        <v>280</v>
      </c>
      <c r="C8" s="5"/>
      <c r="D8" s="6"/>
      <c r="E8" s="6"/>
      <c r="F8" s="7"/>
    </row>
    <row r="9" spans="2:6" x14ac:dyDescent="0.3">
      <c r="B9" s="2" t="s">
        <v>280</v>
      </c>
      <c r="C9" s="2"/>
      <c r="D9" s="3"/>
      <c r="E9" s="3"/>
      <c r="F9" s="4"/>
    </row>
    <row r="10" spans="2:6" x14ac:dyDescent="0.3">
      <c r="B10" s="5" t="s">
        <v>280</v>
      </c>
      <c r="C10" s="5"/>
      <c r="D10" s="6"/>
      <c r="E10" s="6"/>
      <c r="F10" s="7"/>
    </row>
    <row r="11" spans="2:6" x14ac:dyDescent="0.3">
      <c r="B11" s="2" t="s">
        <v>280</v>
      </c>
      <c r="C11" s="2"/>
      <c r="D11" s="3"/>
      <c r="E11" s="3"/>
      <c r="F11" s="4"/>
    </row>
    <row r="12" spans="2:6" x14ac:dyDescent="0.3">
      <c r="B12" s="5" t="s">
        <v>280</v>
      </c>
      <c r="C12" s="5"/>
      <c r="D12" s="6"/>
      <c r="E12" s="6"/>
      <c r="F12" s="7"/>
    </row>
    <row r="13" spans="2:6" x14ac:dyDescent="0.3">
      <c r="B13" s="2" t="s">
        <v>280</v>
      </c>
      <c r="C13" s="2"/>
      <c r="D13" s="3"/>
      <c r="E13" s="3"/>
      <c r="F13" s="4"/>
    </row>
    <row r="14" spans="2:6" ht="15" thickBot="1" x14ac:dyDescent="0.35"/>
    <row r="15" spans="2:6" x14ac:dyDescent="0.3">
      <c r="B15" s="141" t="s">
        <v>34</v>
      </c>
      <c r="C15" s="142"/>
      <c r="D15" s="142"/>
      <c r="E15" s="143"/>
      <c r="F15" s="91">
        <f>SUM(F6:F13)</f>
        <v>0</v>
      </c>
    </row>
    <row r="16" spans="2:6" x14ac:dyDescent="0.3">
      <c r="B16" s="82" t="s">
        <v>35</v>
      </c>
      <c r="C16" s="83"/>
      <c r="D16" s="92"/>
      <c r="E16" s="84"/>
      <c r="F16" s="88">
        <f>VLOOKUP(B1,'Trial Balance'!$A:$F,6,0)</f>
        <v>-238394.09</v>
      </c>
    </row>
    <row r="17" spans="2:6" x14ac:dyDescent="0.3">
      <c r="B17" s="86" t="s">
        <v>36</v>
      </c>
      <c r="C17" s="115"/>
      <c r="D17" s="87"/>
      <c r="E17" s="108"/>
      <c r="F17" s="97">
        <f>F15-F16</f>
        <v>238394.09</v>
      </c>
    </row>
  </sheetData>
  <mergeCells count="6">
    <mergeCell ref="B15:D15"/>
    <mergeCell ref="B16:D16"/>
    <mergeCell ref="B17:D17"/>
    <mergeCell ref="B1:E1"/>
    <mergeCell ref="B2:E2"/>
    <mergeCell ref="B3:E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70C0"/>
  </sheetPr>
  <dimension ref="B1:F12"/>
  <sheetViews>
    <sheetView workbookViewId="0">
      <pane xSplit="1" ySplit="5" topLeftCell="B6" activePane="bottomRight" state="frozen"/>
      <selection pane="topRight"/>
      <selection pane="bottomLeft"/>
      <selection pane="bottomRight" activeCell="B8" sqref="B8:C10"/>
    </sheetView>
  </sheetViews>
  <sheetFormatPr defaultRowHeight="14.4" x14ac:dyDescent="0.3"/>
  <cols>
    <col min="1" max="1" width="2" customWidth="1"/>
    <col min="2" max="2" width="12" customWidth="1"/>
    <col min="3" max="3" width="58" customWidth="1"/>
    <col min="4" max="4" width="18" customWidth="1"/>
    <col min="6" max="6" width="10.88671875" customWidth="1"/>
  </cols>
  <sheetData>
    <row r="1" spans="2:6" ht="18" x14ac:dyDescent="0.35">
      <c r="B1" s="95" t="s">
        <v>282</v>
      </c>
      <c r="C1" s="95"/>
      <c r="D1" s="95"/>
      <c r="E1" s="95"/>
      <c r="F1" s="98"/>
    </row>
    <row r="2" spans="2:6" ht="18" x14ac:dyDescent="0.35">
      <c r="B2" s="95" t="s">
        <v>563</v>
      </c>
      <c r="C2" s="95"/>
      <c r="D2" s="95"/>
      <c r="E2" s="95"/>
      <c r="F2" s="98"/>
    </row>
    <row r="3" spans="2:6" x14ac:dyDescent="0.3">
      <c r="B3" s="96" t="s">
        <v>37</v>
      </c>
      <c r="C3" s="96"/>
      <c r="D3" s="96"/>
      <c r="E3" s="96"/>
      <c r="F3" s="140"/>
    </row>
    <row r="5" spans="2:6" ht="22.05" customHeight="1" x14ac:dyDescent="0.3">
      <c r="B5" s="10" t="s">
        <v>1</v>
      </c>
      <c r="C5" s="10" t="s">
        <v>2</v>
      </c>
      <c r="D5" s="146" t="s">
        <v>675</v>
      </c>
      <c r="E5" s="147" t="s">
        <v>45</v>
      </c>
      <c r="F5" s="147" t="s">
        <v>152</v>
      </c>
    </row>
    <row r="6" spans="2:6" x14ac:dyDescent="0.3">
      <c r="B6" s="148">
        <v>44439</v>
      </c>
      <c r="C6" s="3" t="s">
        <v>676</v>
      </c>
      <c r="D6" s="4">
        <v>-1000</v>
      </c>
      <c r="E6" s="4"/>
      <c r="F6" s="4">
        <f>SUM(D6:E6)</f>
        <v>-1000</v>
      </c>
    </row>
    <row r="7" spans="2:6" ht="15" thickBot="1" x14ac:dyDescent="0.35">
      <c r="B7" s="144"/>
      <c r="C7" s="144"/>
      <c r="D7" s="145"/>
    </row>
    <row r="8" spans="2:6" x14ac:dyDescent="0.3">
      <c r="B8" s="141" t="s">
        <v>34</v>
      </c>
      <c r="C8" s="142"/>
      <c r="D8" s="143"/>
      <c r="E8" s="143"/>
      <c r="F8" s="91">
        <f>SUM(F6:F7)</f>
        <v>-1000</v>
      </c>
    </row>
    <row r="9" spans="2:6" x14ac:dyDescent="0.3">
      <c r="B9" s="82" t="s">
        <v>35</v>
      </c>
      <c r="C9" s="92"/>
      <c r="D9" s="84"/>
      <c r="E9" s="84"/>
      <c r="F9" s="88">
        <f>VLOOKUP(B1,'Trial Balance'!$A:$F,6,0)</f>
        <v>-1000</v>
      </c>
    </row>
    <row r="10" spans="2:6" x14ac:dyDescent="0.3">
      <c r="B10" s="86" t="s">
        <v>36</v>
      </c>
      <c r="C10" s="87"/>
      <c r="D10" s="108"/>
      <c r="E10" s="108"/>
      <c r="F10" s="97">
        <f>F8-F9</f>
        <v>0</v>
      </c>
    </row>
    <row r="11" spans="2:6" x14ac:dyDescent="0.3">
      <c r="C11" s="12"/>
      <c r="D11" s="13"/>
    </row>
    <row r="12" spans="2:6" x14ac:dyDescent="0.3">
      <c r="C12" s="11"/>
    </row>
  </sheetData>
  <mergeCells count="6">
    <mergeCell ref="B8:C8"/>
    <mergeCell ref="B9:C9"/>
    <mergeCell ref="B10:C10"/>
    <mergeCell ref="B1:E1"/>
    <mergeCell ref="B2:E2"/>
    <mergeCell ref="B3:E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70C0"/>
  </sheetPr>
  <dimension ref="A1:O36"/>
  <sheetViews>
    <sheetView workbookViewId="0">
      <selection sqref="A1:O1"/>
    </sheetView>
  </sheetViews>
  <sheetFormatPr defaultRowHeight="14.4" x14ac:dyDescent="0.3"/>
  <cols>
    <col min="1" max="1" width="10.6640625" customWidth="1"/>
    <col min="2" max="2" width="9.109375" customWidth="1"/>
    <col min="3" max="3" width="21.33203125" customWidth="1"/>
    <col min="4" max="4" width="6.5546875" customWidth="1"/>
    <col min="5" max="5" width="6.33203125" customWidth="1"/>
    <col min="6" max="6" width="7" customWidth="1"/>
    <col min="7" max="7" width="8.44140625" customWidth="1"/>
    <col min="8" max="8" width="7" customWidth="1"/>
    <col min="9" max="9" width="9.109375" customWidth="1"/>
    <col min="11" max="11" width="6" customWidth="1"/>
    <col min="13" max="13" width="8.109375" customWidth="1"/>
    <col min="14" max="14" width="10.21875" bestFit="1" customWidth="1"/>
  </cols>
  <sheetData>
    <row r="1" spans="1:15" ht="15.75" customHeight="1" x14ac:dyDescent="0.3">
      <c r="A1" s="70" t="s">
        <v>167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</row>
    <row r="2" spans="1:15" ht="15" customHeight="1" x14ac:dyDescent="0.3">
      <c r="A2" s="66" t="s">
        <v>168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</row>
    <row r="3" spans="1:15" ht="15" customHeight="1" x14ac:dyDescent="0.3">
      <c r="A3" s="18" t="s">
        <v>169</v>
      </c>
      <c r="B3" s="18" t="s">
        <v>170</v>
      </c>
      <c r="C3" s="18" t="s">
        <v>171</v>
      </c>
      <c r="D3" s="18" t="s">
        <v>172</v>
      </c>
      <c r="E3" s="18" t="s">
        <v>173</v>
      </c>
      <c r="F3" s="18" t="s">
        <v>146</v>
      </c>
      <c r="G3" s="18" t="s">
        <v>1</v>
      </c>
      <c r="H3" s="18" t="s">
        <v>174</v>
      </c>
      <c r="I3" s="19" t="s">
        <v>148</v>
      </c>
      <c r="J3" s="19" t="s">
        <v>149</v>
      </c>
      <c r="K3" s="19" t="s">
        <v>150</v>
      </c>
      <c r="L3" s="19" t="s">
        <v>151</v>
      </c>
      <c r="M3" s="19" t="s">
        <v>175</v>
      </c>
      <c r="N3" s="19" t="s">
        <v>176</v>
      </c>
      <c r="O3" s="19" t="s">
        <v>152</v>
      </c>
    </row>
    <row r="4" spans="1:15" ht="15" customHeight="1" x14ac:dyDescent="0.3">
      <c r="A4" s="20"/>
      <c r="B4" s="20"/>
      <c r="C4" s="20"/>
      <c r="D4" s="20"/>
      <c r="E4" s="20"/>
      <c r="F4" s="20" t="s">
        <v>177</v>
      </c>
      <c r="G4" s="20"/>
      <c r="H4" s="20"/>
      <c r="I4" s="21" t="s">
        <v>178</v>
      </c>
      <c r="J4" s="21" t="s">
        <v>178</v>
      </c>
      <c r="K4" s="21" t="s">
        <v>178</v>
      </c>
      <c r="L4" s="21" t="s">
        <v>178</v>
      </c>
      <c r="M4" s="21" t="s">
        <v>179</v>
      </c>
      <c r="N4" s="21" t="s">
        <v>180</v>
      </c>
      <c r="O4" s="21" t="s">
        <v>178</v>
      </c>
    </row>
    <row r="5" spans="1:15" ht="15" customHeight="1" x14ac:dyDescent="0.3">
      <c r="A5" s="71" t="s">
        <v>181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</row>
    <row r="6" spans="1:15" ht="15" customHeight="1" x14ac:dyDescent="0.3">
      <c r="A6" s="65" t="s">
        <v>182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</row>
    <row r="7" spans="1:15" ht="15" customHeight="1" x14ac:dyDescent="0.3">
      <c r="A7" s="22" t="s">
        <v>183</v>
      </c>
      <c r="B7" s="22"/>
      <c r="C7" s="22" t="s">
        <v>41</v>
      </c>
      <c r="D7" s="22" t="s">
        <v>148</v>
      </c>
      <c r="E7" s="22" t="s">
        <v>154</v>
      </c>
      <c r="F7" s="22" t="s">
        <v>153</v>
      </c>
      <c r="G7" s="23">
        <v>46045</v>
      </c>
      <c r="H7" s="22" t="s">
        <v>184</v>
      </c>
      <c r="I7" s="24">
        <v>3325.87</v>
      </c>
      <c r="J7" s="24">
        <v>3325.87</v>
      </c>
      <c r="K7" s="24">
        <v>0</v>
      </c>
      <c r="L7" s="24">
        <v>0</v>
      </c>
      <c r="M7" s="24">
        <v>0</v>
      </c>
      <c r="N7" s="24">
        <v>0</v>
      </c>
      <c r="O7" s="24">
        <v>3325.87</v>
      </c>
    </row>
    <row r="8" spans="1:15" ht="15" customHeight="1" x14ac:dyDescent="0.3">
      <c r="A8" s="22" t="s">
        <v>183</v>
      </c>
      <c r="B8" s="22"/>
      <c r="C8" s="22" t="s">
        <v>41</v>
      </c>
      <c r="D8" s="22" t="s">
        <v>148</v>
      </c>
      <c r="E8" s="22" t="s">
        <v>155</v>
      </c>
      <c r="F8" s="22" t="s">
        <v>153</v>
      </c>
      <c r="G8" s="23">
        <v>46045</v>
      </c>
      <c r="H8" s="22" t="s">
        <v>184</v>
      </c>
      <c r="I8" s="24">
        <v>1771.69</v>
      </c>
      <c r="J8" s="24">
        <v>1771.69</v>
      </c>
      <c r="K8" s="24">
        <v>0</v>
      </c>
      <c r="L8" s="24">
        <v>0</v>
      </c>
      <c r="M8" s="24">
        <v>0</v>
      </c>
      <c r="N8" s="24">
        <v>0</v>
      </c>
      <c r="O8" s="24">
        <v>1771.69</v>
      </c>
    </row>
    <row r="9" spans="1:15" ht="15" customHeight="1" x14ac:dyDescent="0.3">
      <c r="A9" s="25" t="s">
        <v>183</v>
      </c>
      <c r="B9" s="25"/>
      <c r="C9" s="25" t="s">
        <v>41</v>
      </c>
      <c r="D9" s="25" t="s">
        <v>148</v>
      </c>
      <c r="E9" s="25" t="s">
        <v>157</v>
      </c>
      <c r="F9" s="25" t="s">
        <v>156</v>
      </c>
      <c r="G9" s="26">
        <v>46045</v>
      </c>
      <c r="H9" s="25" t="s">
        <v>184</v>
      </c>
      <c r="I9" s="27">
        <v>11.07</v>
      </c>
      <c r="J9" s="27">
        <v>11.07</v>
      </c>
      <c r="K9" s="27">
        <v>0</v>
      </c>
      <c r="L9" s="27">
        <v>0</v>
      </c>
      <c r="M9" s="27">
        <v>0</v>
      </c>
      <c r="N9" s="27">
        <v>0</v>
      </c>
      <c r="O9" s="27">
        <v>11.07</v>
      </c>
    </row>
    <row r="10" spans="1:15" ht="15" customHeight="1" x14ac:dyDescent="0.3">
      <c r="A10" s="28"/>
      <c r="B10" s="28"/>
      <c r="C10" s="29" t="s">
        <v>41</v>
      </c>
      <c r="D10" s="28"/>
      <c r="E10" s="28"/>
      <c r="F10" s="28"/>
      <c r="G10" s="28"/>
      <c r="H10" s="28"/>
      <c r="I10" s="30">
        <v>5108.63</v>
      </c>
      <c r="J10" s="30">
        <v>5108.63</v>
      </c>
      <c r="K10" s="30">
        <v>0</v>
      </c>
      <c r="L10" s="30">
        <v>0</v>
      </c>
      <c r="M10" s="30">
        <v>0</v>
      </c>
      <c r="N10" s="30">
        <v>0</v>
      </c>
      <c r="O10" s="30">
        <v>5108.63</v>
      </c>
    </row>
    <row r="11" spans="1:15" ht="15" customHeight="1" x14ac:dyDescent="0.3">
      <c r="A11" s="64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</row>
    <row r="12" spans="1:15" ht="15" customHeight="1" x14ac:dyDescent="0.3">
      <c r="A12" s="65" t="s">
        <v>185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</row>
    <row r="13" spans="1:15" ht="15" customHeight="1" x14ac:dyDescent="0.3">
      <c r="A13" s="22" t="s">
        <v>183</v>
      </c>
      <c r="B13" s="22"/>
      <c r="C13" s="22" t="s">
        <v>39</v>
      </c>
      <c r="D13" s="22" t="s">
        <v>148</v>
      </c>
      <c r="E13" s="22" t="s">
        <v>158</v>
      </c>
      <c r="F13" s="22" t="s">
        <v>153</v>
      </c>
      <c r="G13" s="23">
        <v>46045</v>
      </c>
      <c r="H13" s="22" t="s">
        <v>184</v>
      </c>
      <c r="I13" s="24">
        <v>1298.1300000000001</v>
      </c>
      <c r="J13" s="24">
        <v>1298.1300000000001</v>
      </c>
      <c r="K13" s="24">
        <v>0</v>
      </c>
      <c r="L13" s="24">
        <v>0</v>
      </c>
      <c r="M13" s="24">
        <v>0</v>
      </c>
      <c r="N13" s="24">
        <v>0</v>
      </c>
      <c r="O13" s="24">
        <v>1298.1300000000001</v>
      </c>
    </row>
    <row r="14" spans="1:15" ht="15" customHeight="1" x14ac:dyDescent="0.3">
      <c r="A14" s="22" t="s">
        <v>183</v>
      </c>
      <c r="B14" s="22"/>
      <c r="C14" s="22" t="s">
        <v>39</v>
      </c>
      <c r="D14" s="22" t="s">
        <v>148</v>
      </c>
      <c r="E14" s="22" t="s">
        <v>159</v>
      </c>
      <c r="F14" s="22" t="s">
        <v>153</v>
      </c>
      <c r="G14" s="23">
        <v>46045</v>
      </c>
      <c r="H14" s="22" t="s">
        <v>184</v>
      </c>
      <c r="I14" s="24">
        <v>6194.28</v>
      </c>
      <c r="J14" s="24">
        <v>6194.28</v>
      </c>
      <c r="K14" s="24">
        <v>0</v>
      </c>
      <c r="L14" s="24">
        <v>0</v>
      </c>
      <c r="M14" s="24">
        <v>0</v>
      </c>
      <c r="N14" s="24">
        <v>0</v>
      </c>
      <c r="O14" s="24">
        <v>6194.28</v>
      </c>
    </row>
    <row r="15" spans="1:15" ht="15" customHeight="1" x14ac:dyDescent="0.3">
      <c r="A15" s="22" t="s">
        <v>183</v>
      </c>
      <c r="B15" s="22"/>
      <c r="C15" s="22" t="s">
        <v>39</v>
      </c>
      <c r="D15" s="22" t="s">
        <v>148</v>
      </c>
      <c r="E15" s="22" t="s">
        <v>160</v>
      </c>
      <c r="F15" s="22" t="s">
        <v>156</v>
      </c>
      <c r="G15" s="23">
        <v>46045</v>
      </c>
      <c r="H15" s="22" t="s">
        <v>184</v>
      </c>
      <c r="I15" s="24">
        <v>43.57</v>
      </c>
      <c r="J15" s="24">
        <v>43.57</v>
      </c>
      <c r="K15" s="24">
        <v>0</v>
      </c>
      <c r="L15" s="24">
        <v>0</v>
      </c>
      <c r="M15" s="24">
        <v>0</v>
      </c>
      <c r="N15" s="24">
        <v>0</v>
      </c>
      <c r="O15" s="24">
        <v>43.57</v>
      </c>
    </row>
    <row r="16" spans="1:15" ht="15" customHeight="1" x14ac:dyDescent="0.3">
      <c r="A16" s="25" t="s">
        <v>183</v>
      </c>
      <c r="B16" s="25"/>
      <c r="C16" s="25" t="s">
        <v>39</v>
      </c>
      <c r="D16" s="25" t="s">
        <v>148</v>
      </c>
      <c r="E16" s="25" t="s">
        <v>161</v>
      </c>
      <c r="F16" s="25" t="s">
        <v>156</v>
      </c>
      <c r="G16" s="26">
        <v>46045</v>
      </c>
      <c r="H16" s="25" t="s">
        <v>184</v>
      </c>
      <c r="I16" s="27">
        <v>1581.94</v>
      </c>
      <c r="J16" s="27">
        <v>1581.94</v>
      </c>
      <c r="K16" s="27">
        <v>0</v>
      </c>
      <c r="L16" s="27">
        <v>0</v>
      </c>
      <c r="M16" s="27">
        <v>0</v>
      </c>
      <c r="N16" s="27">
        <v>0</v>
      </c>
      <c r="O16" s="27">
        <v>1581.94</v>
      </c>
    </row>
    <row r="17" spans="1:15" ht="15" customHeight="1" x14ac:dyDescent="0.3">
      <c r="A17" s="28"/>
      <c r="B17" s="28"/>
      <c r="C17" s="29" t="s">
        <v>39</v>
      </c>
      <c r="D17" s="28"/>
      <c r="E17" s="28"/>
      <c r="F17" s="28"/>
      <c r="G17" s="28"/>
      <c r="H17" s="28"/>
      <c r="I17" s="30">
        <v>9117.92</v>
      </c>
      <c r="J17" s="30">
        <v>9117.92</v>
      </c>
      <c r="K17" s="30">
        <v>0</v>
      </c>
      <c r="L17" s="30">
        <v>0</v>
      </c>
      <c r="M17" s="30">
        <v>0</v>
      </c>
      <c r="N17" s="30">
        <v>0</v>
      </c>
      <c r="O17" s="30">
        <v>9117.92</v>
      </c>
    </row>
    <row r="18" spans="1:15" ht="15" customHeight="1" x14ac:dyDescent="0.3">
      <c r="A18" s="64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</row>
    <row r="19" spans="1:15" ht="15" customHeight="1" x14ac:dyDescent="0.3">
      <c r="A19" s="65" t="s">
        <v>186</v>
      </c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</row>
    <row r="20" spans="1:15" ht="15" customHeight="1" x14ac:dyDescent="0.3">
      <c r="A20" s="22" t="s">
        <v>183</v>
      </c>
      <c r="B20" s="22"/>
      <c r="C20" s="22" t="s">
        <v>40</v>
      </c>
      <c r="D20" s="22" t="s">
        <v>148</v>
      </c>
      <c r="E20" s="22" t="s">
        <v>162</v>
      </c>
      <c r="F20" s="22" t="s">
        <v>153</v>
      </c>
      <c r="G20" s="23">
        <v>46045</v>
      </c>
      <c r="H20" s="22" t="s">
        <v>184</v>
      </c>
      <c r="I20" s="24">
        <v>51.77</v>
      </c>
      <c r="J20" s="24">
        <v>51.77</v>
      </c>
      <c r="K20" s="24">
        <v>0</v>
      </c>
      <c r="L20" s="24">
        <v>0</v>
      </c>
      <c r="M20" s="24">
        <v>0</v>
      </c>
      <c r="N20" s="24">
        <v>0</v>
      </c>
      <c r="O20" s="24">
        <v>51.77</v>
      </c>
    </row>
    <row r="21" spans="1:15" ht="15" customHeight="1" x14ac:dyDescent="0.3">
      <c r="A21" s="22" t="s">
        <v>183</v>
      </c>
      <c r="B21" s="22"/>
      <c r="C21" s="22" t="s">
        <v>40</v>
      </c>
      <c r="D21" s="22" t="s">
        <v>148</v>
      </c>
      <c r="E21" s="22" t="s">
        <v>163</v>
      </c>
      <c r="F21" s="22" t="s">
        <v>153</v>
      </c>
      <c r="G21" s="23">
        <v>46045</v>
      </c>
      <c r="H21" s="22" t="s">
        <v>184</v>
      </c>
      <c r="I21" s="24">
        <v>652.03</v>
      </c>
      <c r="J21" s="24">
        <v>652.03</v>
      </c>
      <c r="K21" s="24">
        <v>0</v>
      </c>
      <c r="L21" s="24">
        <v>0</v>
      </c>
      <c r="M21" s="24">
        <v>0</v>
      </c>
      <c r="N21" s="24">
        <v>0</v>
      </c>
      <c r="O21" s="24">
        <v>652.03</v>
      </c>
    </row>
    <row r="22" spans="1:15" ht="15" customHeight="1" x14ac:dyDescent="0.3">
      <c r="A22" s="25" t="s">
        <v>183</v>
      </c>
      <c r="B22" s="25"/>
      <c r="C22" s="25" t="s">
        <v>40</v>
      </c>
      <c r="D22" s="25" t="s">
        <v>148</v>
      </c>
      <c r="E22" s="25" t="s">
        <v>164</v>
      </c>
      <c r="F22" s="25" t="s">
        <v>156</v>
      </c>
      <c r="G22" s="26">
        <v>46045</v>
      </c>
      <c r="H22" s="25" t="s">
        <v>184</v>
      </c>
      <c r="I22" s="27">
        <v>35.01</v>
      </c>
      <c r="J22" s="27">
        <v>35.01</v>
      </c>
      <c r="K22" s="27">
        <v>0</v>
      </c>
      <c r="L22" s="27">
        <v>0</v>
      </c>
      <c r="M22" s="27">
        <v>0</v>
      </c>
      <c r="N22" s="27">
        <v>0</v>
      </c>
      <c r="O22" s="27">
        <v>35.01</v>
      </c>
    </row>
    <row r="23" spans="1:15" ht="15" customHeight="1" x14ac:dyDescent="0.3">
      <c r="A23" s="28"/>
      <c r="B23" s="28"/>
      <c r="C23" s="29" t="s">
        <v>40</v>
      </c>
      <c r="D23" s="28"/>
      <c r="E23" s="28"/>
      <c r="F23" s="28"/>
      <c r="G23" s="28"/>
      <c r="H23" s="28"/>
      <c r="I23" s="30">
        <v>738.81</v>
      </c>
      <c r="J23" s="30">
        <v>738.81</v>
      </c>
      <c r="K23" s="30">
        <v>0</v>
      </c>
      <c r="L23" s="30">
        <v>0</v>
      </c>
      <c r="M23" s="30">
        <v>0</v>
      </c>
      <c r="N23" s="30">
        <v>0</v>
      </c>
      <c r="O23" s="30">
        <v>738.81</v>
      </c>
    </row>
    <row r="24" spans="1:15" ht="15" customHeight="1" x14ac:dyDescent="0.3">
      <c r="A24" s="64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</row>
    <row r="25" spans="1:15" ht="15" customHeight="1" x14ac:dyDescent="0.3">
      <c r="A25" s="65" t="s">
        <v>187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</row>
    <row r="26" spans="1:15" ht="15" customHeight="1" x14ac:dyDescent="0.3">
      <c r="A26" s="22" t="s">
        <v>183</v>
      </c>
      <c r="B26" s="22"/>
      <c r="C26" s="22" t="s">
        <v>42</v>
      </c>
      <c r="D26" s="22" t="s">
        <v>148</v>
      </c>
      <c r="E26" s="22" t="s">
        <v>188</v>
      </c>
      <c r="F26" s="22" t="s">
        <v>189</v>
      </c>
      <c r="G26" s="23">
        <v>46029</v>
      </c>
      <c r="H26" s="22" t="s">
        <v>184</v>
      </c>
      <c r="I26" s="24">
        <v>0</v>
      </c>
      <c r="J26" s="24">
        <v>0</v>
      </c>
      <c r="K26" s="24">
        <v>0</v>
      </c>
      <c r="L26" s="24">
        <v>0</v>
      </c>
      <c r="M26" s="24">
        <v>0</v>
      </c>
      <c r="N26" s="24">
        <v>-1273.83</v>
      </c>
      <c r="O26" s="24">
        <v>-1273.83</v>
      </c>
    </row>
    <row r="27" spans="1:15" ht="15" customHeight="1" x14ac:dyDescent="0.3">
      <c r="A27" s="22" t="s">
        <v>183</v>
      </c>
      <c r="B27" s="22"/>
      <c r="C27" s="22" t="s">
        <v>42</v>
      </c>
      <c r="D27" s="22" t="s">
        <v>148</v>
      </c>
      <c r="E27" s="22" t="s">
        <v>188</v>
      </c>
      <c r="F27" s="22" t="s">
        <v>189</v>
      </c>
      <c r="G27" s="23">
        <v>46029</v>
      </c>
      <c r="H27" s="22" t="s">
        <v>184</v>
      </c>
      <c r="I27" s="24">
        <v>0</v>
      </c>
      <c r="J27" s="24">
        <v>0</v>
      </c>
      <c r="K27" s="24">
        <v>0</v>
      </c>
      <c r="L27" s="24">
        <v>0</v>
      </c>
      <c r="M27" s="24">
        <v>0</v>
      </c>
      <c r="N27" s="24">
        <v>-292888.88</v>
      </c>
      <c r="O27" s="24">
        <v>-292888.88</v>
      </c>
    </row>
    <row r="28" spans="1:15" ht="15" customHeight="1" x14ac:dyDescent="0.3">
      <c r="A28" s="22" t="s">
        <v>183</v>
      </c>
      <c r="B28" s="22"/>
      <c r="C28" s="22" t="s">
        <v>42</v>
      </c>
      <c r="D28" s="22" t="s">
        <v>148</v>
      </c>
      <c r="E28" s="22" t="s">
        <v>165</v>
      </c>
      <c r="F28" s="22" t="s">
        <v>153</v>
      </c>
      <c r="G28" s="23">
        <v>46045</v>
      </c>
      <c r="H28" s="22" t="s">
        <v>184</v>
      </c>
      <c r="I28" s="24">
        <v>2060.41</v>
      </c>
      <c r="J28" s="24">
        <v>2060.41</v>
      </c>
      <c r="K28" s="24">
        <v>0</v>
      </c>
      <c r="L28" s="24">
        <v>0</v>
      </c>
      <c r="M28" s="24">
        <v>0</v>
      </c>
      <c r="N28" s="24">
        <v>0</v>
      </c>
      <c r="O28" s="24">
        <v>2060.41</v>
      </c>
    </row>
    <row r="29" spans="1:15" ht="15" customHeight="1" x14ac:dyDescent="0.3">
      <c r="A29" s="25" t="s">
        <v>183</v>
      </c>
      <c r="B29" s="25"/>
      <c r="C29" s="25" t="s">
        <v>42</v>
      </c>
      <c r="D29" s="25" t="s">
        <v>148</v>
      </c>
      <c r="E29" s="25" t="s">
        <v>166</v>
      </c>
      <c r="F29" s="25" t="s">
        <v>156</v>
      </c>
      <c r="G29" s="26">
        <v>46045</v>
      </c>
      <c r="H29" s="25" t="s">
        <v>184</v>
      </c>
      <c r="I29" s="27">
        <v>65.36</v>
      </c>
      <c r="J29" s="27">
        <v>65.36</v>
      </c>
      <c r="K29" s="27">
        <v>0</v>
      </c>
      <c r="L29" s="27">
        <v>0</v>
      </c>
      <c r="M29" s="27">
        <v>0</v>
      </c>
      <c r="N29" s="27">
        <v>0</v>
      </c>
      <c r="O29" s="27">
        <v>65.36</v>
      </c>
    </row>
    <row r="30" spans="1:15" ht="15" customHeight="1" x14ac:dyDescent="0.3">
      <c r="A30" s="28"/>
      <c r="B30" s="28"/>
      <c r="C30" s="29" t="s">
        <v>42</v>
      </c>
      <c r="D30" s="28"/>
      <c r="E30" s="28"/>
      <c r="F30" s="28"/>
      <c r="G30" s="28"/>
      <c r="H30" s="28"/>
      <c r="I30" s="30">
        <v>2125.77</v>
      </c>
      <c r="J30" s="30">
        <v>2125.77</v>
      </c>
      <c r="K30" s="30">
        <v>0</v>
      </c>
      <c r="L30" s="30">
        <v>0</v>
      </c>
      <c r="M30" s="30">
        <v>0</v>
      </c>
      <c r="N30" s="30">
        <v>-294162.71000000002</v>
      </c>
      <c r="O30" s="30">
        <v>-292036.94</v>
      </c>
    </row>
    <row r="31" spans="1:15" ht="15" customHeight="1" x14ac:dyDescent="0.3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</row>
    <row r="32" spans="1:15" ht="15" customHeight="1" x14ac:dyDescent="0.3">
      <c r="A32" s="29" t="s">
        <v>183</v>
      </c>
      <c r="B32" s="28"/>
      <c r="C32" s="28"/>
      <c r="D32" s="28"/>
      <c r="E32" s="28"/>
      <c r="F32" s="28"/>
      <c r="G32" s="28"/>
      <c r="H32" s="28"/>
      <c r="I32" s="30">
        <v>17091.13</v>
      </c>
      <c r="J32" s="30">
        <v>17091.13</v>
      </c>
      <c r="K32" s="30">
        <v>0</v>
      </c>
      <c r="L32" s="30">
        <v>0</v>
      </c>
      <c r="M32" s="30">
        <v>0</v>
      </c>
      <c r="N32" s="30">
        <v>-294162.71000000002</v>
      </c>
      <c r="O32" s="30">
        <v>-277071.58</v>
      </c>
    </row>
    <row r="33" spans="1:15" ht="15" customHeight="1" x14ac:dyDescent="0.3">
      <c r="A33" s="68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</row>
    <row r="34" spans="1:15" ht="15" customHeight="1" x14ac:dyDescent="0.3">
      <c r="A34" s="29" t="s">
        <v>190</v>
      </c>
      <c r="B34" s="28"/>
      <c r="C34" s="28"/>
      <c r="D34" s="28"/>
      <c r="E34" s="28"/>
      <c r="F34" s="28"/>
      <c r="G34" s="28"/>
      <c r="H34" s="28"/>
      <c r="I34" s="30">
        <v>17091.13</v>
      </c>
      <c r="J34" s="30">
        <v>17091.13</v>
      </c>
      <c r="K34" s="30">
        <v>0</v>
      </c>
      <c r="L34" s="30">
        <v>0</v>
      </c>
      <c r="M34" s="30">
        <v>0</v>
      </c>
      <c r="N34" s="30">
        <v>-294162.71000000002</v>
      </c>
      <c r="O34" s="30">
        <v>-277071.58</v>
      </c>
    </row>
    <row r="35" spans="1:15" ht="15" customHeight="1" x14ac:dyDescent="0.3">
      <c r="A35" s="64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</row>
    <row r="36" spans="1:15" ht="15" customHeight="1" x14ac:dyDescent="0.3">
      <c r="A36" s="67" t="s">
        <v>191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</row>
  </sheetData>
  <mergeCells count="14">
    <mergeCell ref="A36:O36"/>
    <mergeCell ref="A33:O33"/>
    <mergeCell ref="A19:O19"/>
    <mergeCell ref="A11:O11"/>
    <mergeCell ref="A1:O1"/>
    <mergeCell ref="A5:O5"/>
    <mergeCell ref="A31:O31"/>
    <mergeCell ref="A6:O6"/>
    <mergeCell ref="A18:O18"/>
    <mergeCell ref="A35:O35"/>
    <mergeCell ref="A12:O12"/>
    <mergeCell ref="A25:O25"/>
    <mergeCell ref="A24:O24"/>
    <mergeCell ref="A2:O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70C0"/>
  </sheetPr>
  <dimension ref="B1:F10"/>
  <sheetViews>
    <sheetView workbookViewId="0"/>
  </sheetViews>
  <sheetFormatPr defaultRowHeight="14.4" x14ac:dyDescent="0.3"/>
  <cols>
    <col min="1" max="1" width="2" customWidth="1"/>
    <col min="2" max="2" width="14" customWidth="1"/>
    <col min="3" max="3" width="54" customWidth="1"/>
    <col min="4" max="4" width="18" customWidth="1"/>
    <col min="6" max="6" width="14.44140625" bestFit="1" customWidth="1"/>
  </cols>
  <sheetData>
    <row r="1" spans="2:6" ht="18" x14ac:dyDescent="0.35">
      <c r="B1" s="95" t="s">
        <v>567</v>
      </c>
      <c r="C1" s="95"/>
      <c r="D1" s="95"/>
      <c r="E1" s="95"/>
      <c r="F1" s="98"/>
    </row>
    <row r="2" spans="2:6" ht="18" x14ac:dyDescent="0.35">
      <c r="B2" s="95" t="s">
        <v>568</v>
      </c>
      <c r="C2" s="95"/>
      <c r="D2" s="95"/>
      <c r="E2" s="95"/>
      <c r="F2" s="98"/>
    </row>
    <row r="3" spans="2:6" x14ac:dyDescent="0.3">
      <c r="B3" s="96" t="s">
        <v>0</v>
      </c>
      <c r="C3" s="96"/>
      <c r="D3" s="96"/>
      <c r="E3" s="96"/>
      <c r="F3" s="140"/>
    </row>
    <row r="5" spans="2:6" ht="18" customHeight="1" x14ac:dyDescent="0.3">
      <c r="B5" s="1" t="s">
        <v>1</v>
      </c>
      <c r="C5" s="1" t="s">
        <v>2</v>
      </c>
      <c r="D5" s="1" t="s">
        <v>45</v>
      </c>
      <c r="E5" s="1" t="s">
        <v>227</v>
      </c>
      <c r="F5" s="1" t="s">
        <v>152</v>
      </c>
    </row>
    <row r="6" spans="2:6" x14ac:dyDescent="0.3">
      <c r="B6" s="148" t="s">
        <v>205</v>
      </c>
      <c r="C6" s="3" t="s">
        <v>284</v>
      </c>
      <c r="D6" s="4">
        <v>-80942266.060000002</v>
      </c>
      <c r="E6" s="4"/>
      <c r="F6" s="4">
        <f>SUM(D6:E6)</f>
        <v>-80942266.060000002</v>
      </c>
    </row>
    <row r="7" spans="2:6" ht="15" thickBot="1" x14ac:dyDescent="0.35"/>
    <row r="8" spans="2:6" x14ac:dyDescent="0.3">
      <c r="B8" s="89" t="s">
        <v>34</v>
      </c>
      <c r="C8" s="90"/>
      <c r="D8" s="91"/>
      <c r="E8" s="91"/>
      <c r="F8" s="114">
        <f>SUM(F2:F6)</f>
        <v>-80942266.060000002</v>
      </c>
    </row>
    <row r="9" spans="2:6" x14ac:dyDescent="0.3">
      <c r="B9" s="82" t="s">
        <v>35</v>
      </c>
      <c r="C9" s="92"/>
      <c r="D9" s="88"/>
      <c r="E9" s="88"/>
      <c r="F9" s="88">
        <f>VLOOKUP(B1,'Trial Balance'!$A:$F,6,0)</f>
        <v>-80942266.060000002</v>
      </c>
    </row>
    <row r="10" spans="2:6" x14ac:dyDescent="0.3">
      <c r="B10" s="86" t="s">
        <v>36</v>
      </c>
      <c r="C10" s="87"/>
      <c r="D10" s="97"/>
      <c r="E10" s="97"/>
      <c r="F10" s="97">
        <f>F8-F9</f>
        <v>0</v>
      </c>
    </row>
  </sheetData>
  <mergeCells count="6">
    <mergeCell ref="B10:C10"/>
    <mergeCell ref="B9:C9"/>
    <mergeCell ref="B8:C8"/>
    <mergeCell ref="B1:E1"/>
    <mergeCell ref="B2:E2"/>
    <mergeCell ref="B3:E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70C0"/>
  </sheetPr>
  <dimension ref="B1:F17"/>
  <sheetViews>
    <sheetView workbookViewId="0"/>
  </sheetViews>
  <sheetFormatPr defaultRowHeight="14.4" x14ac:dyDescent="0.3"/>
  <cols>
    <col min="1" max="1" width="2" customWidth="1"/>
    <col min="2" max="2" width="14" customWidth="1"/>
    <col min="3" max="3" width="46" customWidth="1"/>
    <col min="4" max="6" width="18" customWidth="1"/>
  </cols>
  <sheetData>
    <row r="1" spans="2:6" ht="18" x14ac:dyDescent="0.35">
      <c r="B1" s="95" t="s">
        <v>569</v>
      </c>
      <c r="C1" s="95"/>
      <c r="D1" s="95"/>
      <c r="E1" s="95"/>
      <c r="F1" s="98"/>
    </row>
    <row r="2" spans="2:6" ht="18" x14ac:dyDescent="0.35">
      <c r="B2" s="95" t="s">
        <v>570</v>
      </c>
      <c r="C2" s="95"/>
      <c r="D2" s="95"/>
      <c r="E2" s="95"/>
      <c r="F2" s="98"/>
    </row>
    <row r="3" spans="2:6" x14ac:dyDescent="0.3">
      <c r="B3" s="96" t="s">
        <v>0</v>
      </c>
      <c r="C3" s="96"/>
      <c r="D3" s="96"/>
      <c r="E3" s="96"/>
      <c r="F3" s="140"/>
    </row>
    <row r="5" spans="2:6" ht="18" customHeight="1" x14ac:dyDescent="0.3">
      <c r="B5" s="1" t="s">
        <v>1</v>
      </c>
      <c r="C5" s="1" t="s">
        <v>2</v>
      </c>
      <c r="D5" s="1" t="s">
        <v>45</v>
      </c>
      <c r="E5" s="1" t="s">
        <v>227</v>
      </c>
      <c r="F5" s="1" t="s">
        <v>152</v>
      </c>
    </row>
    <row r="6" spans="2:6" x14ac:dyDescent="0.3">
      <c r="B6" s="148" t="s">
        <v>285</v>
      </c>
      <c r="C6" s="3" t="s">
        <v>286</v>
      </c>
      <c r="D6" s="4">
        <v>19711731.390000001</v>
      </c>
      <c r="E6" s="4">
        <v>0</v>
      </c>
      <c r="F6" s="4">
        <f>SUM(D6:E6)</f>
        <v>19711731.390000001</v>
      </c>
    </row>
    <row r="7" spans="2:6" x14ac:dyDescent="0.3">
      <c r="B7" s="149" t="s">
        <v>287</v>
      </c>
      <c r="C7" s="6" t="s">
        <v>288</v>
      </c>
      <c r="D7" s="7">
        <v>0</v>
      </c>
      <c r="E7" s="7">
        <v>1250000</v>
      </c>
      <c r="F7" s="7">
        <f t="shared" ref="F7:F13" si="0">SUM(D7:E7)</f>
        <v>1250000</v>
      </c>
    </row>
    <row r="8" spans="2:6" ht="28.8" x14ac:dyDescent="0.3">
      <c r="B8" s="148" t="s">
        <v>289</v>
      </c>
      <c r="C8" s="3" t="s">
        <v>290</v>
      </c>
      <c r="D8" s="4">
        <v>0</v>
      </c>
      <c r="E8" s="4">
        <v>2000000</v>
      </c>
      <c r="F8" s="4">
        <f t="shared" si="0"/>
        <v>2000000</v>
      </c>
    </row>
    <row r="9" spans="2:6" x14ac:dyDescent="0.3">
      <c r="B9" s="149" t="s">
        <v>291</v>
      </c>
      <c r="C9" s="6" t="s">
        <v>292</v>
      </c>
      <c r="D9" s="7">
        <v>0</v>
      </c>
      <c r="E9" s="7">
        <v>825000</v>
      </c>
      <c r="F9" s="7">
        <f t="shared" si="0"/>
        <v>825000</v>
      </c>
    </row>
    <row r="10" spans="2:6" x14ac:dyDescent="0.3">
      <c r="B10" s="148" t="s">
        <v>293</v>
      </c>
      <c r="C10" s="3" t="s">
        <v>294</v>
      </c>
      <c r="D10" s="4">
        <v>0</v>
      </c>
      <c r="E10" s="4">
        <v>540000</v>
      </c>
      <c r="F10" s="4">
        <f t="shared" si="0"/>
        <v>540000</v>
      </c>
    </row>
    <row r="11" spans="2:6" x14ac:dyDescent="0.3">
      <c r="B11" s="149" t="s">
        <v>295</v>
      </c>
      <c r="C11" s="6" t="s">
        <v>296</v>
      </c>
      <c r="D11" s="7">
        <v>0</v>
      </c>
      <c r="E11" s="7">
        <v>685000</v>
      </c>
      <c r="F11" s="7">
        <f t="shared" si="0"/>
        <v>685000</v>
      </c>
    </row>
    <row r="12" spans="2:6" x14ac:dyDescent="0.3">
      <c r="B12" s="148" t="s">
        <v>297</v>
      </c>
      <c r="C12" s="3" t="s">
        <v>298</v>
      </c>
      <c r="D12" s="4">
        <v>0</v>
      </c>
      <c r="E12" s="4">
        <v>700000</v>
      </c>
      <c r="F12" s="4">
        <f t="shared" si="0"/>
        <v>700000</v>
      </c>
    </row>
    <row r="13" spans="2:6" x14ac:dyDescent="0.3">
      <c r="B13" s="149" t="s">
        <v>299</v>
      </c>
      <c r="C13" s="6" t="s">
        <v>300</v>
      </c>
      <c r="D13" s="7">
        <v>0</v>
      </c>
      <c r="E13" s="7">
        <v>1025000</v>
      </c>
      <c r="F13" s="7">
        <f t="shared" si="0"/>
        <v>1025000</v>
      </c>
    </row>
    <row r="14" spans="2:6" ht="15" thickBot="1" x14ac:dyDescent="0.35">
      <c r="B14" s="9"/>
      <c r="C14" s="9"/>
      <c r="D14" s="9"/>
      <c r="E14" s="9"/>
      <c r="F14" s="9"/>
    </row>
    <row r="15" spans="2:6" x14ac:dyDescent="0.3">
      <c r="B15" s="89" t="s">
        <v>34</v>
      </c>
      <c r="C15" s="90"/>
      <c r="D15" s="91"/>
      <c r="E15" s="91"/>
      <c r="F15" s="114">
        <f>SUM(F6:F13)</f>
        <v>26736731.390000001</v>
      </c>
    </row>
    <row r="16" spans="2:6" x14ac:dyDescent="0.3">
      <c r="B16" s="82" t="s">
        <v>35</v>
      </c>
      <c r="C16" s="92"/>
      <c r="D16" s="88"/>
      <c r="E16" s="88"/>
      <c r="F16" s="88">
        <f>VLOOKUP(B1,'Trial Balance'!$A:$F,6,0)</f>
        <v>26736731.390000001</v>
      </c>
    </row>
    <row r="17" spans="2:6" x14ac:dyDescent="0.3">
      <c r="B17" s="86" t="s">
        <v>36</v>
      </c>
      <c r="C17" s="87"/>
      <c r="D17" s="97"/>
      <c r="E17" s="97"/>
      <c r="F17" s="97">
        <f>F15-F16</f>
        <v>0</v>
      </c>
    </row>
  </sheetData>
  <mergeCells count="6">
    <mergeCell ref="B15:C15"/>
    <mergeCell ref="B16:C16"/>
    <mergeCell ref="B17:C17"/>
    <mergeCell ref="B1:E1"/>
    <mergeCell ref="B2:E2"/>
    <mergeCell ref="B3:E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70C0"/>
  </sheetPr>
  <dimension ref="B1:F10"/>
  <sheetViews>
    <sheetView workbookViewId="0">
      <selection activeCell="H12" sqref="H12"/>
    </sheetView>
  </sheetViews>
  <sheetFormatPr defaultRowHeight="14.4" x14ac:dyDescent="0.3"/>
  <cols>
    <col min="1" max="1" width="2" customWidth="1"/>
    <col min="2" max="3" width="40" customWidth="1"/>
    <col min="4" max="6" width="18" customWidth="1"/>
  </cols>
  <sheetData>
    <row r="1" spans="2:6" ht="18" x14ac:dyDescent="0.35">
      <c r="B1" s="95">
        <v>381100</v>
      </c>
      <c r="C1" s="95"/>
      <c r="D1" s="95"/>
      <c r="E1" s="95"/>
      <c r="F1" s="98"/>
    </row>
    <row r="2" spans="2:6" ht="18" x14ac:dyDescent="0.35">
      <c r="B2" s="95" t="s">
        <v>572</v>
      </c>
      <c r="C2" s="95"/>
      <c r="D2" s="95"/>
      <c r="E2" s="95"/>
      <c r="F2" s="98"/>
    </row>
    <row r="3" spans="2:6" x14ac:dyDescent="0.3">
      <c r="B3" s="96" t="s">
        <v>0</v>
      </c>
      <c r="C3" s="96"/>
      <c r="D3" s="96"/>
      <c r="E3" s="96"/>
      <c r="F3" s="140"/>
    </row>
    <row r="5" spans="2:6" ht="18" customHeight="1" x14ac:dyDescent="0.3">
      <c r="B5" s="1" t="s">
        <v>2</v>
      </c>
      <c r="C5" s="1" t="s">
        <v>2</v>
      </c>
      <c r="D5" s="1" t="s">
        <v>227</v>
      </c>
      <c r="E5" s="1" t="s">
        <v>45</v>
      </c>
      <c r="F5" s="1" t="s">
        <v>152</v>
      </c>
    </row>
    <row r="6" spans="2:6" x14ac:dyDescent="0.3">
      <c r="B6" s="150">
        <v>46023</v>
      </c>
      <c r="C6" s="103" t="s">
        <v>229</v>
      </c>
      <c r="D6" s="104">
        <v>-8184455.7300000004</v>
      </c>
      <c r="E6" s="104">
        <v>251436.26</v>
      </c>
      <c r="F6" s="104">
        <f>SUM(D6:E6)</f>
        <v>-7933019.4700000007</v>
      </c>
    </row>
    <row r="7" spans="2:6" ht="15" thickBot="1" x14ac:dyDescent="0.35">
      <c r="B7" s="9"/>
      <c r="C7" s="8"/>
      <c r="D7" s="9"/>
      <c r="E7" s="9"/>
      <c r="F7" s="9"/>
    </row>
    <row r="8" spans="2:6" x14ac:dyDescent="0.3">
      <c r="B8" s="89" t="s">
        <v>34</v>
      </c>
      <c r="C8" s="90"/>
      <c r="D8" s="91"/>
      <c r="E8" s="91"/>
      <c r="F8" s="114">
        <f>SUM(F6:F7)</f>
        <v>-7933019.4700000007</v>
      </c>
    </row>
    <row r="9" spans="2:6" x14ac:dyDescent="0.3">
      <c r="B9" s="82" t="s">
        <v>35</v>
      </c>
      <c r="C9" s="92"/>
      <c r="D9" s="88"/>
      <c r="E9" s="88"/>
      <c r="F9" s="88">
        <v>-7933019.4699999997</v>
      </c>
    </row>
    <row r="10" spans="2:6" x14ac:dyDescent="0.3">
      <c r="B10" s="86" t="s">
        <v>36</v>
      </c>
      <c r="C10" s="87"/>
      <c r="D10" s="97"/>
      <c r="E10" s="97"/>
      <c r="F10" s="97">
        <v>0</v>
      </c>
    </row>
  </sheetData>
  <mergeCells count="6">
    <mergeCell ref="B8:C8"/>
    <mergeCell ref="B9:C9"/>
    <mergeCell ref="B10:C10"/>
    <mergeCell ref="B1:E1"/>
    <mergeCell ref="B2:E2"/>
    <mergeCell ref="B3:E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70C0"/>
  </sheetPr>
  <dimension ref="A1:F85"/>
  <sheetViews>
    <sheetView topLeftCell="A77" workbookViewId="0">
      <selection activeCell="F78" sqref="F78"/>
    </sheetView>
  </sheetViews>
  <sheetFormatPr defaultRowHeight="14.4" x14ac:dyDescent="0.3"/>
  <cols>
    <col min="1" max="1" width="11.44140625" customWidth="1"/>
    <col min="2" max="2" width="37.109375" customWidth="1"/>
    <col min="3" max="3" width="17.109375" customWidth="1"/>
    <col min="4" max="5" width="11" bestFit="1" customWidth="1"/>
    <col min="6" max="6" width="11.5546875" bestFit="1" customWidth="1"/>
  </cols>
  <sheetData>
    <row r="1" spans="1:6" ht="15" customHeight="1" x14ac:dyDescent="0.3">
      <c r="A1" s="75" t="s">
        <v>512</v>
      </c>
      <c r="B1" s="62"/>
      <c r="C1" s="62"/>
      <c r="D1" s="62"/>
      <c r="E1" s="62"/>
      <c r="F1" s="62"/>
    </row>
    <row r="2" spans="1:6" ht="15.75" customHeight="1" x14ac:dyDescent="0.3">
      <c r="A2" s="78" t="s">
        <v>513</v>
      </c>
      <c r="B2" s="62"/>
      <c r="C2" s="62"/>
      <c r="D2" s="62"/>
      <c r="E2" s="62"/>
      <c r="F2" s="62"/>
    </row>
    <row r="3" spans="1:6" ht="15" customHeight="1" x14ac:dyDescent="0.3">
      <c r="A3" s="75" t="s">
        <v>514</v>
      </c>
      <c r="B3" s="62"/>
      <c r="C3" s="62"/>
      <c r="D3" s="62"/>
      <c r="E3" s="62"/>
      <c r="F3" s="62"/>
    </row>
    <row r="4" spans="1:6" ht="15" customHeight="1" x14ac:dyDescent="0.3">
      <c r="A4" s="75" t="s">
        <v>515</v>
      </c>
      <c r="B4" s="62"/>
      <c r="C4" s="62"/>
      <c r="D4" s="62"/>
      <c r="E4" s="62"/>
      <c r="F4" s="62"/>
    </row>
    <row r="5" spans="1:6" ht="15" customHeight="1" x14ac:dyDescent="0.3">
      <c r="A5" s="33"/>
      <c r="B5" s="18"/>
      <c r="C5" s="33" t="s">
        <v>516</v>
      </c>
      <c r="D5" s="33"/>
      <c r="E5" s="33"/>
      <c r="F5" s="33" t="s">
        <v>517</v>
      </c>
    </row>
    <row r="6" spans="1:6" ht="15" customHeight="1" x14ac:dyDescent="0.3">
      <c r="A6" s="34"/>
      <c r="B6" s="20"/>
      <c r="C6" s="34" t="s">
        <v>200</v>
      </c>
      <c r="D6" s="34" t="s">
        <v>518</v>
      </c>
      <c r="E6" s="34" t="s">
        <v>519</v>
      </c>
      <c r="F6" s="34" t="s">
        <v>200</v>
      </c>
    </row>
    <row r="7" spans="1:6" ht="15" customHeight="1" x14ac:dyDescent="0.3">
      <c r="A7" s="58" t="s">
        <v>520</v>
      </c>
      <c r="B7" s="59" t="s">
        <v>521</v>
      </c>
      <c r="C7" s="60">
        <v>777307.24</v>
      </c>
      <c r="D7" s="60">
        <v>569681.80000000005</v>
      </c>
      <c r="E7" s="60">
        <v>0</v>
      </c>
      <c r="F7" s="60">
        <v>1346989.04</v>
      </c>
    </row>
    <row r="8" spans="1:6" ht="15" customHeight="1" x14ac:dyDescent="0.3">
      <c r="A8" s="39" t="s">
        <v>38</v>
      </c>
      <c r="B8" s="31" t="s">
        <v>522</v>
      </c>
      <c r="C8" s="41">
        <v>153410.1</v>
      </c>
      <c r="D8" s="41">
        <v>0</v>
      </c>
      <c r="E8" s="41">
        <v>0</v>
      </c>
      <c r="F8" s="41">
        <v>153410.1</v>
      </c>
    </row>
    <row r="9" spans="1:6" ht="15" customHeight="1" x14ac:dyDescent="0.3">
      <c r="A9" s="39" t="s">
        <v>523</v>
      </c>
      <c r="B9" s="31" t="s">
        <v>524</v>
      </c>
      <c r="C9" s="41">
        <v>4375</v>
      </c>
      <c r="D9" s="41">
        <v>0</v>
      </c>
      <c r="E9" s="41">
        <v>0</v>
      </c>
      <c r="F9" s="41">
        <v>4375</v>
      </c>
    </row>
    <row r="10" spans="1:6" ht="15" customHeight="1" x14ac:dyDescent="0.3">
      <c r="A10" s="39" t="s">
        <v>525</v>
      </c>
      <c r="B10" s="31" t="s">
        <v>526</v>
      </c>
      <c r="C10" s="41">
        <v>576594.68000000005</v>
      </c>
      <c r="D10" s="41">
        <v>0</v>
      </c>
      <c r="E10" s="41">
        <v>295455.62</v>
      </c>
      <c r="F10" s="41">
        <v>281139.06</v>
      </c>
    </row>
    <row r="11" spans="1:6" ht="15" customHeight="1" x14ac:dyDescent="0.3">
      <c r="A11" s="39" t="s">
        <v>527</v>
      </c>
      <c r="B11" s="31" t="s">
        <v>528</v>
      </c>
      <c r="C11" s="41">
        <v>339443.8</v>
      </c>
      <c r="D11" s="41">
        <v>0</v>
      </c>
      <c r="E11" s="41">
        <v>0</v>
      </c>
      <c r="F11" s="41">
        <v>339443.8</v>
      </c>
    </row>
    <row r="12" spans="1:6" ht="15" customHeight="1" x14ac:dyDescent="0.3">
      <c r="A12" s="39" t="s">
        <v>529</v>
      </c>
      <c r="B12" s="31" t="s">
        <v>530</v>
      </c>
      <c r="C12" s="41">
        <v>4735644.53</v>
      </c>
      <c r="D12" s="41">
        <v>247.46</v>
      </c>
      <c r="E12" s="41">
        <v>0</v>
      </c>
      <c r="F12" s="41">
        <v>4735891.99</v>
      </c>
    </row>
    <row r="13" spans="1:6" ht="15" customHeight="1" x14ac:dyDescent="0.3">
      <c r="A13" s="39" t="s">
        <v>531</v>
      </c>
      <c r="B13" s="31" t="s">
        <v>532</v>
      </c>
      <c r="C13" s="41">
        <v>361138.97</v>
      </c>
      <c r="D13" s="41">
        <v>0</v>
      </c>
      <c r="E13" s="41">
        <v>344047.84</v>
      </c>
      <c r="F13" s="41">
        <v>17091.13</v>
      </c>
    </row>
    <row r="14" spans="1:6" ht="15" customHeight="1" x14ac:dyDescent="0.3">
      <c r="A14" s="39" t="s">
        <v>533</v>
      </c>
      <c r="B14" s="31" t="s">
        <v>534</v>
      </c>
      <c r="C14" s="41">
        <v>317248.52</v>
      </c>
      <c r="D14" s="41">
        <v>0</v>
      </c>
      <c r="E14" s="41">
        <v>317248.52</v>
      </c>
      <c r="F14" s="41">
        <v>0</v>
      </c>
    </row>
    <row r="15" spans="1:6" ht="15" customHeight="1" x14ac:dyDescent="0.3">
      <c r="A15" s="39" t="s">
        <v>193</v>
      </c>
      <c r="B15" s="31" t="s">
        <v>535</v>
      </c>
      <c r="C15" s="41">
        <v>12275.68</v>
      </c>
      <c r="D15" s="41">
        <v>4815.45</v>
      </c>
      <c r="E15" s="41">
        <v>0</v>
      </c>
      <c r="F15" s="41">
        <v>17091.13</v>
      </c>
    </row>
    <row r="16" spans="1:6" ht="15" customHeight="1" x14ac:dyDescent="0.3">
      <c r="A16" s="39" t="s">
        <v>536</v>
      </c>
      <c r="B16" s="31" t="s">
        <v>537</v>
      </c>
      <c r="C16" s="41">
        <v>29924.92</v>
      </c>
      <c r="D16" s="41">
        <v>0</v>
      </c>
      <c r="E16" s="41">
        <v>5576.07</v>
      </c>
      <c r="F16" s="41">
        <v>24348.85</v>
      </c>
    </row>
    <row r="17" spans="1:6" ht="15" customHeight="1" x14ac:dyDescent="0.3">
      <c r="A17" s="39" t="s">
        <v>538</v>
      </c>
      <c r="B17" s="31" t="s">
        <v>539</v>
      </c>
      <c r="C17" s="41">
        <v>0</v>
      </c>
      <c r="D17" s="41">
        <v>332500.53999999998</v>
      </c>
      <c r="E17" s="41">
        <v>0</v>
      </c>
      <c r="F17" s="41">
        <v>332500.53999999998</v>
      </c>
    </row>
    <row r="18" spans="1:6" ht="15" customHeight="1" x14ac:dyDescent="0.3">
      <c r="A18" s="39" t="s">
        <v>540</v>
      </c>
      <c r="B18" s="31" t="s">
        <v>541</v>
      </c>
      <c r="C18" s="41">
        <v>3421.27</v>
      </c>
      <c r="D18" s="41">
        <v>0</v>
      </c>
      <c r="E18" s="41">
        <v>1699.63</v>
      </c>
      <c r="F18" s="41">
        <v>1721.64</v>
      </c>
    </row>
    <row r="19" spans="1:6" ht="15" customHeight="1" x14ac:dyDescent="0.3">
      <c r="A19" s="39" t="s">
        <v>201</v>
      </c>
      <c r="B19" s="31" t="s">
        <v>542</v>
      </c>
      <c r="C19" s="41">
        <v>0</v>
      </c>
      <c r="D19" s="41">
        <v>0</v>
      </c>
      <c r="E19" s="41">
        <v>0</v>
      </c>
      <c r="F19" s="41">
        <v>0</v>
      </c>
    </row>
    <row r="20" spans="1:6" ht="15" customHeight="1" x14ac:dyDescent="0.3">
      <c r="A20" s="39" t="s">
        <v>543</v>
      </c>
      <c r="B20" s="31" t="s">
        <v>544</v>
      </c>
      <c r="C20" s="41">
        <v>29000000</v>
      </c>
      <c r="D20" s="41">
        <v>0</v>
      </c>
      <c r="E20" s="41">
        <v>0</v>
      </c>
      <c r="F20" s="41">
        <v>29000000</v>
      </c>
    </row>
    <row r="21" spans="1:6" ht="15" customHeight="1" x14ac:dyDescent="0.3">
      <c r="A21" s="39" t="s">
        <v>545</v>
      </c>
      <c r="B21" s="31" t="s">
        <v>546</v>
      </c>
      <c r="C21" s="41">
        <v>78887372.010000005</v>
      </c>
      <c r="D21" s="41">
        <v>0</v>
      </c>
      <c r="E21" s="41">
        <v>0</v>
      </c>
      <c r="F21" s="41">
        <v>78887372.010000005</v>
      </c>
    </row>
    <row r="22" spans="1:6" ht="15" customHeight="1" x14ac:dyDescent="0.3">
      <c r="A22" s="39" t="s">
        <v>547</v>
      </c>
      <c r="B22" s="31" t="s">
        <v>548</v>
      </c>
      <c r="C22" s="41">
        <v>96503.1</v>
      </c>
      <c r="D22" s="41">
        <v>0</v>
      </c>
      <c r="E22" s="41">
        <v>0</v>
      </c>
      <c r="F22" s="41">
        <v>96503.1</v>
      </c>
    </row>
    <row r="23" spans="1:6" ht="15" customHeight="1" x14ac:dyDescent="0.3">
      <c r="A23" s="39" t="s">
        <v>549</v>
      </c>
      <c r="B23" s="31" t="s">
        <v>550</v>
      </c>
      <c r="C23" s="41">
        <v>3619300</v>
      </c>
      <c r="D23" s="41">
        <v>0</v>
      </c>
      <c r="E23" s="41">
        <v>0</v>
      </c>
      <c r="F23" s="41">
        <v>3619300</v>
      </c>
    </row>
    <row r="24" spans="1:6" ht="15" customHeight="1" x14ac:dyDescent="0.3">
      <c r="A24" s="39" t="s">
        <v>551</v>
      </c>
      <c r="B24" s="31" t="s">
        <v>552</v>
      </c>
      <c r="C24" s="41">
        <v>247320.99</v>
      </c>
      <c r="D24" s="41">
        <v>0</v>
      </c>
      <c r="E24" s="41">
        <v>0</v>
      </c>
      <c r="F24" s="41">
        <v>247320.99</v>
      </c>
    </row>
    <row r="25" spans="1:6" ht="15" customHeight="1" x14ac:dyDescent="0.3">
      <c r="A25" s="39" t="s">
        <v>553</v>
      </c>
      <c r="B25" s="31" t="s">
        <v>554</v>
      </c>
      <c r="C25" s="41">
        <v>36213336.520000003</v>
      </c>
      <c r="D25" s="41">
        <v>0</v>
      </c>
      <c r="E25" s="41">
        <v>0</v>
      </c>
      <c r="F25" s="41">
        <v>36213336.520000003</v>
      </c>
    </row>
    <row r="26" spans="1:6" ht="15" customHeight="1" x14ac:dyDescent="0.3">
      <c r="A26" s="39" t="s">
        <v>555</v>
      </c>
      <c r="B26" s="31" t="s">
        <v>556</v>
      </c>
      <c r="C26" s="41">
        <v>465020.98</v>
      </c>
      <c r="D26" s="41">
        <v>0</v>
      </c>
      <c r="E26" s="41">
        <v>0</v>
      </c>
      <c r="F26" s="41">
        <v>465020.98</v>
      </c>
    </row>
    <row r="27" spans="1:6" ht="15" customHeight="1" x14ac:dyDescent="0.3">
      <c r="A27" s="39" t="s">
        <v>557</v>
      </c>
      <c r="B27" s="31" t="s">
        <v>558</v>
      </c>
      <c r="C27" s="41">
        <v>801.33</v>
      </c>
      <c r="D27" s="41">
        <v>4110.74</v>
      </c>
      <c r="E27" s="41">
        <v>0</v>
      </c>
      <c r="F27" s="41">
        <v>4912.07</v>
      </c>
    </row>
    <row r="28" spans="1:6" ht="15" customHeight="1" x14ac:dyDescent="0.3">
      <c r="A28" s="39" t="s">
        <v>279</v>
      </c>
      <c r="B28" s="31" t="s">
        <v>559</v>
      </c>
      <c r="C28" s="41">
        <v>-91647.83</v>
      </c>
      <c r="D28" s="41">
        <v>91647.83</v>
      </c>
      <c r="E28" s="41">
        <v>0</v>
      </c>
      <c r="F28" s="41">
        <v>0</v>
      </c>
    </row>
    <row r="29" spans="1:6" ht="15" customHeight="1" x14ac:dyDescent="0.3">
      <c r="A29" s="39" t="s">
        <v>560</v>
      </c>
      <c r="B29" s="31" t="s">
        <v>561</v>
      </c>
      <c r="C29" s="41">
        <v>-531096.56000000006</v>
      </c>
      <c r="D29" s="41">
        <v>292702.46999999997</v>
      </c>
      <c r="E29" s="41">
        <v>0</v>
      </c>
      <c r="F29" s="41">
        <v>-238394.09</v>
      </c>
    </row>
    <row r="30" spans="1:6" ht="15" customHeight="1" x14ac:dyDescent="0.3">
      <c r="A30" s="39" t="s">
        <v>281</v>
      </c>
      <c r="B30" s="31" t="s">
        <v>562</v>
      </c>
      <c r="C30" s="41">
        <v>-645399.37</v>
      </c>
      <c r="D30" s="41">
        <v>0</v>
      </c>
      <c r="E30" s="41">
        <v>0</v>
      </c>
      <c r="F30" s="41">
        <v>-645399.37</v>
      </c>
    </row>
    <row r="31" spans="1:6" ht="15" customHeight="1" x14ac:dyDescent="0.3">
      <c r="A31" s="39" t="s">
        <v>282</v>
      </c>
      <c r="B31" s="31" t="s">
        <v>563</v>
      </c>
      <c r="C31" s="41">
        <v>-1000</v>
      </c>
      <c r="D31" s="41">
        <v>0</v>
      </c>
      <c r="E31" s="41">
        <v>0</v>
      </c>
      <c r="F31" s="41">
        <v>-1000</v>
      </c>
    </row>
    <row r="32" spans="1:6" ht="15" customHeight="1" x14ac:dyDescent="0.3">
      <c r="A32" s="39" t="s">
        <v>564</v>
      </c>
      <c r="B32" s="31" t="s">
        <v>565</v>
      </c>
      <c r="C32" s="41">
        <v>-328546.57</v>
      </c>
      <c r="D32" s="41">
        <v>34383.86</v>
      </c>
      <c r="E32" s="41">
        <v>0</v>
      </c>
      <c r="F32" s="41">
        <v>-294162.71000000002</v>
      </c>
    </row>
    <row r="33" spans="1:6" ht="15" customHeight="1" x14ac:dyDescent="0.3">
      <c r="A33" s="39" t="s">
        <v>283</v>
      </c>
      <c r="B33" s="31" t="s">
        <v>566</v>
      </c>
      <c r="C33" s="41">
        <v>-92104195.170000002</v>
      </c>
      <c r="D33" s="41">
        <v>0</v>
      </c>
      <c r="E33" s="41">
        <v>0</v>
      </c>
      <c r="F33" s="41">
        <v>-92104195.170000002</v>
      </c>
    </row>
    <row r="34" spans="1:6" ht="15" customHeight="1" x14ac:dyDescent="0.3">
      <c r="A34" s="39" t="s">
        <v>567</v>
      </c>
      <c r="B34" s="31" t="s">
        <v>568</v>
      </c>
      <c r="C34" s="41">
        <v>-80942266.060000002</v>
      </c>
      <c r="D34" s="41">
        <v>0</v>
      </c>
      <c r="E34" s="41">
        <v>0</v>
      </c>
      <c r="F34" s="41">
        <v>-80942266.060000002</v>
      </c>
    </row>
    <row r="35" spans="1:6" ht="15" customHeight="1" x14ac:dyDescent="0.3">
      <c r="A35" s="39" t="s">
        <v>569</v>
      </c>
      <c r="B35" s="31" t="s">
        <v>570</v>
      </c>
      <c r="C35" s="41">
        <v>26736731.390000001</v>
      </c>
      <c r="D35" s="41">
        <v>0</v>
      </c>
      <c r="E35" s="41">
        <v>0</v>
      </c>
      <c r="F35" s="41">
        <v>26736731.390000001</v>
      </c>
    </row>
    <row r="36" spans="1:6" ht="15" customHeight="1" x14ac:dyDescent="0.3">
      <c r="A36" s="39" t="s">
        <v>571</v>
      </c>
      <c r="B36" s="31" t="s">
        <v>572</v>
      </c>
      <c r="C36" s="41">
        <v>-7933019.4699999997</v>
      </c>
      <c r="D36" s="41">
        <v>0</v>
      </c>
      <c r="E36" s="41">
        <v>0</v>
      </c>
      <c r="F36" s="41">
        <v>-7933019.4699999997</v>
      </c>
    </row>
    <row r="37" spans="1:6" ht="15" customHeight="1" x14ac:dyDescent="0.3">
      <c r="A37" s="39" t="s">
        <v>573</v>
      </c>
      <c r="B37" s="31" t="s">
        <v>574</v>
      </c>
      <c r="C37" s="41">
        <v>0</v>
      </c>
      <c r="D37" s="41">
        <v>0</v>
      </c>
      <c r="E37" s="41">
        <v>1006377.6</v>
      </c>
      <c r="F37" s="41">
        <v>-1006377.6</v>
      </c>
    </row>
    <row r="38" spans="1:6" ht="15" customHeight="1" x14ac:dyDescent="0.3">
      <c r="A38" s="39" t="s">
        <v>277</v>
      </c>
      <c r="B38" s="31" t="s">
        <v>278</v>
      </c>
      <c r="C38" s="41">
        <v>0</v>
      </c>
      <c r="D38" s="41">
        <v>65249.52</v>
      </c>
      <c r="E38" s="41">
        <v>0</v>
      </c>
      <c r="F38" s="41">
        <v>65249.52</v>
      </c>
    </row>
    <row r="39" spans="1:6" ht="15" customHeight="1" x14ac:dyDescent="0.3">
      <c r="A39" s="39" t="s">
        <v>575</v>
      </c>
      <c r="B39" s="31" t="s">
        <v>576</v>
      </c>
      <c r="C39" s="41">
        <v>0</v>
      </c>
      <c r="D39" s="41">
        <v>0</v>
      </c>
      <c r="E39" s="41">
        <v>273978.2</v>
      </c>
      <c r="F39" s="41">
        <v>-273978.2</v>
      </c>
    </row>
    <row r="40" spans="1:6" ht="15" customHeight="1" x14ac:dyDescent="0.3">
      <c r="A40" s="39" t="s">
        <v>577</v>
      </c>
      <c r="B40" s="31" t="s">
        <v>578</v>
      </c>
      <c r="C40" s="41">
        <v>0</v>
      </c>
      <c r="D40" s="41">
        <v>0</v>
      </c>
      <c r="E40" s="41">
        <v>19338.11</v>
      </c>
      <c r="F40" s="41">
        <v>-19338.11</v>
      </c>
    </row>
    <row r="41" spans="1:6" ht="15" customHeight="1" x14ac:dyDescent="0.3">
      <c r="A41" s="39" t="s">
        <v>579</v>
      </c>
      <c r="B41" s="31" t="s">
        <v>580</v>
      </c>
      <c r="C41" s="41">
        <v>0</v>
      </c>
      <c r="D41" s="41">
        <v>0</v>
      </c>
      <c r="E41" s="41">
        <v>2568.4699999999998</v>
      </c>
      <c r="F41" s="41">
        <v>-2568.4699999999998</v>
      </c>
    </row>
    <row r="42" spans="1:6" ht="15" customHeight="1" x14ac:dyDescent="0.3">
      <c r="A42" s="39" t="s">
        <v>581</v>
      </c>
      <c r="B42" s="31" t="s">
        <v>582</v>
      </c>
      <c r="C42" s="41">
        <v>0</v>
      </c>
      <c r="D42" s="41">
        <v>0</v>
      </c>
      <c r="E42" s="41">
        <v>247.46</v>
      </c>
      <c r="F42" s="41">
        <v>-247.46</v>
      </c>
    </row>
    <row r="43" spans="1:6" ht="15" customHeight="1" x14ac:dyDescent="0.3">
      <c r="A43" s="39" t="s">
        <v>583</v>
      </c>
      <c r="B43" s="31" t="s">
        <v>584</v>
      </c>
      <c r="C43" s="41">
        <v>0</v>
      </c>
      <c r="D43" s="41">
        <v>7578.99</v>
      </c>
      <c r="E43" s="41">
        <v>0</v>
      </c>
      <c r="F43" s="41">
        <v>7578.99</v>
      </c>
    </row>
    <row r="44" spans="1:6" ht="15" customHeight="1" x14ac:dyDescent="0.3">
      <c r="A44" s="39" t="s">
        <v>585</v>
      </c>
      <c r="B44" s="31" t="s">
        <v>586</v>
      </c>
      <c r="C44" s="41">
        <v>0</v>
      </c>
      <c r="D44" s="41">
        <v>215.42</v>
      </c>
      <c r="E44" s="41">
        <v>0</v>
      </c>
      <c r="F44" s="41">
        <v>215.42</v>
      </c>
    </row>
    <row r="45" spans="1:6" ht="15" customHeight="1" x14ac:dyDescent="0.3">
      <c r="A45" s="39" t="s">
        <v>587</v>
      </c>
      <c r="B45" s="31" t="s">
        <v>588</v>
      </c>
      <c r="C45" s="41">
        <v>0</v>
      </c>
      <c r="D45" s="41">
        <v>84.47</v>
      </c>
      <c r="E45" s="41">
        <v>0</v>
      </c>
      <c r="F45" s="41">
        <v>84.47</v>
      </c>
    </row>
    <row r="46" spans="1:6" ht="15" customHeight="1" x14ac:dyDescent="0.3">
      <c r="A46" s="39" t="s">
        <v>589</v>
      </c>
      <c r="B46" s="31" t="s">
        <v>590</v>
      </c>
      <c r="C46" s="41">
        <v>0</v>
      </c>
      <c r="D46" s="41">
        <v>69684.72</v>
      </c>
      <c r="E46" s="41">
        <v>0</v>
      </c>
      <c r="F46" s="41">
        <v>69684.72</v>
      </c>
    </row>
    <row r="47" spans="1:6" ht="15" customHeight="1" x14ac:dyDescent="0.3">
      <c r="A47" s="39" t="s">
        <v>591</v>
      </c>
      <c r="B47" s="31" t="s">
        <v>592</v>
      </c>
      <c r="C47" s="41">
        <v>0</v>
      </c>
      <c r="D47" s="41">
        <v>15354.18</v>
      </c>
      <c r="E47" s="41">
        <v>0</v>
      </c>
      <c r="F47" s="41">
        <v>15354.18</v>
      </c>
    </row>
    <row r="48" spans="1:6" ht="15" customHeight="1" x14ac:dyDescent="0.3">
      <c r="A48" s="39" t="s">
        <v>593</v>
      </c>
      <c r="B48" s="31" t="s">
        <v>594</v>
      </c>
      <c r="C48" s="41">
        <v>0</v>
      </c>
      <c r="D48" s="41">
        <v>32628.3</v>
      </c>
      <c r="E48" s="41">
        <v>0</v>
      </c>
      <c r="F48" s="41">
        <v>32628.3</v>
      </c>
    </row>
    <row r="49" spans="1:6" ht="15" customHeight="1" x14ac:dyDescent="0.3">
      <c r="A49" s="39" t="s">
        <v>595</v>
      </c>
      <c r="B49" s="31" t="s">
        <v>596</v>
      </c>
      <c r="C49" s="41">
        <v>0</v>
      </c>
      <c r="D49" s="41">
        <v>0</v>
      </c>
      <c r="E49" s="41">
        <v>48068.55</v>
      </c>
      <c r="F49" s="41">
        <v>-48068.55</v>
      </c>
    </row>
    <row r="50" spans="1:6" ht="15" customHeight="1" x14ac:dyDescent="0.3">
      <c r="A50" s="39" t="s">
        <v>597</v>
      </c>
      <c r="B50" s="31" t="s">
        <v>598</v>
      </c>
      <c r="C50" s="41">
        <v>0</v>
      </c>
      <c r="D50" s="41">
        <v>14076.05</v>
      </c>
      <c r="E50" s="41">
        <v>0</v>
      </c>
      <c r="F50" s="41">
        <v>14076.05</v>
      </c>
    </row>
    <row r="51" spans="1:6" ht="15" customHeight="1" x14ac:dyDescent="0.3">
      <c r="A51" s="39" t="s">
        <v>599</v>
      </c>
      <c r="B51" s="31" t="s">
        <v>600</v>
      </c>
      <c r="C51" s="41">
        <v>0</v>
      </c>
      <c r="D51" s="41">
        <v>801.62</v>
      </c>
      <c r="E51" s="41">
        <v>0</v>
      </c>
      <c r="F51" s="41">
        <v>801.62</v>
      </c>
    </row>
    <row r="52" spans="1:6" ht="15" customHeight="1" x14ac:dyDescent="0.3">
      <c r="A52" s="39" t="s">
        <v>601</v>
      </c>
      <c r="B52" s="31" t="s">
        <v>602</v>
      </c>
      <c r="C52" s="41">
        <v>0</v>
      </c>
      <c r="D52" s="41">
        <v>1033.8599999999999</v>
      </c>
      <c r="E52" s="41">
        <v>0</v>
      </c>
      <c r="F52" s="41">
        <v>1033.8599999999999</v>
      </c>
    </row>
    <row r="53" spans="1:6" ht="15" customHeight="1" x14ac:dyDescent="0.3">
      <c r="A53" s="39" t="s">
        <v>603</v>
      </c>
      <c r="B53" s="31" t="s">
        <v>604</v>
      </c>
      <c r="C53" s="41">
        <v>0</v>
      </c>
      <c r="D53" s="41">
        <v>1164.8499999999999</v>
      </c>
      <c r="E53" s="41">
        <v>0</v>
      </c>
      <c r="F53" s="41">
        <v>1164.8499999999999</v>
      </c>
    </row>
    <row r="54" spans="1:6" ht="15" customHeight="1" x14ac:dyDescent="0.3">
      <c r="A54" s="39" t="s">
        <v>605</v>
      </c>
      <c r="B54" s="31" t="s">
        <v>606</v>
      </c>
      <c r="C54" s="41">
        <v>0</v>
      </c>
      <c r="D54" s="41">
        <v>360</v>
      </c>
      <c r="E54" s="41">
        <v>0</v>
      </c>
      <c r="F54" s="41">
        <v>360</v>
      </c>
    </row>
    <row r="55" spans="1:6" ht="15" customHeight="1" x14ac:dyDescent="0.3">
      <c r="A55" s="39" t="s">
        <v>607</v>
      </c>
      <c r="B55" s="31" t="s">
        <v>608</v>
      </c>
      <c r="C55" s="41">
        <v>0</v>
      </c>
      <c r="D55" s="41">
        <v>0</v>
      </c>
      <c r="E55" s="41">
        <v>12.5</v>
      </c>
      <c r="F55" s="41">
        <v>-12.5</v>
      </c>
    </row>
    <row r="56" spans="1:6" ht="15" customHeight="1" x14ac:dyDescent="0.3">
      <c r="A56" s="39" t="s">
        <v>609</v>
      </c>
      <c r="B56" s="31" t="s">
        <v>610</v>
      </c>
      <c r="C56" s="41">
        <v>0</v>
      </c>
      <c r="D56" s="41">
        <v>2610</v>
      </c>
      <c r="E56" s="41">
        <v>0</v>
      </c>
      <c r="F56" s="41">
        <v>2610</v>
      </c>
    </row>
    <row r="57" spans="1:6" ht="15" customHeight="1" x14ac:dyDescent="0.3">
      <c r="A57" s="39" t="s">
        <v>611</v>
      </c>
      <c r="B57" s="31" t="s">
        <v>612</v>
      </c>
      <c r="C57" s="41">
        <v>0</v>
      </c>
      <c r="D57" s="41">
        <v>6740</v>
      </c>
      <c r="E57" s="41">
        <v>0</v>
      </c>
      <c r="F57" s="41">
        <v>6740</v>
      </c>
    </row>
    <row r="58" spans="1:6" ht="15" customHeight="1" x14ac:dyDescent="0.3">
      <c r="A58" s="39" t="s">
        <v>613</v>
      </c>
      <c r="B58" s="31" t="s">
        <v>614</v>
      </c>
      <c r="C58" s="41">
        <v>0</v>
      </c>
      <c r="D58" s="41">
        <v>1193.82</v>
      </c>
      <c r="E58" s="41">
        <v>0</v>
      </c>
      <c r="F58" s="41">
        <v>1193.82</v>
      </c>
    </row>
    <row r="59" spans="1:6" ht="15" customHeight="1" x14ac:dyDescent="0.3">
      <c r="A59" s="39" t="s">
        <v>615</v>
      </c>
      <c r="B59" s="31" t="s">
        <v>616</v>
      </c>
      <c r="C59" s="41">
        <v>0</v>
      </c>
      <c r="D59" s="41">
        <v>0</v>
      </c>
      <c r="E59" s="41">
        <v>1690</v>
      </c>
      <c r="F59" s="41">
        <v>-1690</v>
      </c>
    </row>
    <row r="60" spans="1:6" ht="15" customHeight="1" x14ac:dyDescent="0.3">
      <c r="A60" s="39" t="s">
        <v>617</v>
      </c>
      <c r="B60" s="31" t="s">
        <v>618</v>
      </c>
      <c r="C60" s="41">
        <v>0</v>
      </c>
      <c r="D60" s="41">
        <v>1575</v>
      </c>
      <c r="E60" s="41">
        <v>0</v>
      </c>
      <c r="F60" s="41">
        <v>1575</v>
      </c>
    </row>
    <row r="61" spans="1:6" ht="15" customHeight="1" x14ac:dyDescent="0.3">
      <c r="A61" s="39" t="s">
        <v>619</v>
      </c>
      <c r="B61" s="31" t="s">
        <v>620</v>
      </c>
      <c r="C61" s="41">
        <v>0</v>
      </c>
      <c r="D61" s="41">
        <v>10225.790000000001</v>
      </c>
      <c r="E61" s="41">
        <v>0</v>
      </c>
      <c r="F61" s="41">
        <v>10225.790000000001</v>
      </c>
    </row>
    <row r="62" spans="1:6" ht="15" customHeight="1" x14ac:dyDescent="0.3">
      <c r="A62" s="39" t="s">
        <v>621</v>
      </c>
      <c r="B62" s="31" t="s">
        <v>622</v>
      </c>
      <c r="C62" s="41">
        <v>0</v>
      </c>
      <c r="D62" s="41">
        <v>0</v>
      </c>
      <c r="E62" s="41">
        <v>0</v>
      </c>
      <c r="F62" s="41">
        <v>0</v>
      </c>
    </row>
    <row r="63" spans="1:6" ht="15" customHeight="1" x14ac:dyDescent="0.3">
      <c r="A63" s="39" t="s">
        <v>623</v>
      </c>
      <c r="B63" s="31" t="s">
        <v>624</v>
      </c>
      <c r="C63" s="41">
        <v>0</v>
      </c>
      <c r="D63" s="41">
        <v>4000.47</v>
      </c>
      <c r="E63" s="41">
        <v>0</v>
      </c>
      <c r="F63" s="41">
        <v>4000.47</v>
      </c>
    </row>
    <row r="64" spans="1:6" ht="15" customHeight="1" x14ac:dyDescent="0.3">
      <c r="A64" s="39" t="s">
        <v>625</v>
      </c>
      <c r="B64" s="31" t="s">
        <v>626</v>
      </c>
      <c r="C64" s="41">
        <v>0</v>
      </c>
      <c r="D64" s="41">
        <v>1508.05</v>
      </c>
      <c r="E64" s="41">
        <v>0</v>
      </c>
      <c r="F64" s="41">
        <v>1508.05</v>
      </c>
    </row>
    <row r="65" spans="1:6" ht="15" customHeight="1" x14ac:dyDescent="0.3">
      <c r="A65" s="39" t="s">
        <v>627</v>
      </c>
      <c r="B65" s="31" t="s">
        <v>628</v>
      </c>
      <c r="C65" s="41">
        <v>0</v>
      </c>
      <c r="D65" s="41">
        <v>220.5</v>
      </c>
      <c r="E65" s="41">
        <v>0</v>
      </c>
      <c r="F65" s="41">
        <v>220.5</v>
      </c>
    </row>
    <row r="66" spans="1:6" ht="15" customHeight="1" x14ac:dyDescent="0.3">
      <c r="A66" s="39" t="s">
        <v>629</v>
      </c>
      <c r="B66" s="31" t="s">
        <v>630</v>
      </c>
      <c r="C66" s="41">
        <v>0</v>
      </c>
      <c r="D66" s="41">
        <v>20269</v>
      </c>
      <c r="E66" s="41">
        <v>0</v>
      </c>
      <c r="F66" s="41">
        <v>20269</v>
      </c>
    </row>
    <row r="67" spans="1:6" ht="15" customHeight="1" x14ac:dyDescent="0.3">
      <c r="A67" s="39" t="s">
        <v>631</v>
      </c>
      <c r="B67" s="31" t="s">
        <v>632</v>
      </c>
      <c r="C67" s="41">
        <v>0</v>
      </c>
      <c r="D67" s="41">
        <v>0</v>
      </c>
      <c r="E67" s="41">
        <v>71239.44</v>
      </c>
      <c r="F67" s="41">
        <v>-71239.44</v>
      </c>
    </row>
    <row r="68" spans="1:6" ht="15" customHeight="1" x14ac:dyDescent="0.3">
      <c r="A68" s="39" t="s">
        <v>633</v>
      </c>
      <c r="B68" s="31" t="s">
        <v>634</v>
      </c>
      <c r="C68" s="41">
        <v>0</v>
      </c>
      <c r="D68" s="41">
        <v>44198.98</v>
      </c>
      <c r="E68" s="41">
        <v>0</v>
      </c>
      <c r="F68" s="41">
        <v>44198.98</v>
      </c>
    </row>
    <row r="69" spans="1:6" ht="15" customHeight="1" x14ac:dyDescent="0.3">
      <c r="A69" s="39" t="s">
        <v>635</v>
      </c>
      <c r="B69" s="31" t="s">
        <v>636</v>
      </c>
      <c r="C69" s="41">
        <v>0</v>
      </c>
      <c r="D69" s="41">
        <v>0</v>
      </c>
      <c r="E69" s="41">
        <v>45413.51</v>
      </c>
      <c r="F69" s="41">
        <v>-45413.51</v>
      </c>
    </row>
    <row r="70" spans="1:6" ht="15" customHeight="1" x14ac:dyDescent="0.3">
      <c r="A70" s="39" t="s">
        <v>637</v>
      </c>
      <c r="B70" s="31" t="s">
        <v>638</v>
      </c>
      <c r="C70" s="41">
        <v>0</v>
      </c>
      <c r="D70" s="41">
        <v>0</v>
      </c>
      <c r="E70" s="41">
        <v>30000</v>
      </c>
      <c r="F70" s="41">
        <v>-30000</v>
      </c>
    </row>
    <row r="71" spans="1:6" ht="15" customHeight="1" x14ac:dyDescent="0.3">
      <c r="A71" s="39" t="s">
        <v>639</v>
      </c>
      <c r="B71" s="31" t="s">
        <v>640</v>
      </c>
      <c r="C71" s="41">
        <v>0</v>
      </c>
      <c r="D71" s="41">
        <v>926.56</v>
      </c>
      <c r="E71" s="41">
        <v>0</v>
      </c>
      <c r="F71" s="41">
        <v>926.56</v>
      </c>
    </row>
    <row r="72" spans="1:6" ht="15" customHeight="1" x14ac:dyDescent="0.3">
      <c r="A72" s="39" t="s">
        <v>641</v>
      </c>
      <c r="B72" s="31" t="s">
        <v>642</v>
      </c>
      <c r="C72" s="41">
        <v>0</v>
      </c>
      <c r="D72" s="41">
        <v>281.25</v>
      </c>
      <c r="E72" s="41">
        <v>0</v>
      </c>
      <c r="F72" s="41">
        <v>281.25</v>
      </c>
    </row>
    <row r="73" spans="1:6" ht="15" customHeight="1" x14ac:dyDescent="0.3">
      <c r="A73" s="39" t="s">
        <v>643</v>
      </c>
      <c r="B73" s="31" t="s">
        <v>644</v>
      </c>
      <c r="C73" s="41">
        <v>0</v>
      </c>
      <c r="D73" s="41">
        <v>625</v>
      </c>
      <c r="E73" s="41">
        <v>0</v>
      </c>
      <c r="F73" s="41">
        <v>625</v>
      </c>
    </row>
    <row r="74" spans="1:6" ht="15" customHeight="1" x14ac:dyDescent="0.3">
      <c r="A74" s="39" t="s">
        <v>645</v>
      </c>
      <c r="B74" s="31" t="s">
        <v>646</v>
      </c>
      <c r="C74" s="41">
        <v>0</v>
      </c>
      <c r="D74" s="41">
        <v>1999.76</v>
      </c>
      <c r="E74" s="41">
        <v>0</v>
      </c>
      <c r="F74" s="41">
        <v>1999.76</v>
      </c>
    </row>
    <row r="75" spans="1:6" ht="15" customHeight="1" x14ac:dyDescent="0.3">
      <c r="A75" s="39" t="s">
        <v>647</v>
      </c>
      <c r="B75" s="31" t="s">
        <v>648</v>
      </c>
      <c r="C75" s="41">
        <v>0</v>
      </c>
      <c r="D75" s="41">
        <v>51.6</v>
      </c>
      <c r="E75" s="41">
        <v>0</v>
      </c>
      <c r="F75" s="41">
        <v>51.6</v>
      </c>
    </row>
    <row r="76" spans="1:6" ht="15" customHeight="1" x14ac:dyDescent="0.3">
      <c r="A76" s="39" t="s">
        <v>649</v>
      </c>
      <c r="B76" s="31" t="s">
        <v>650</v>
      </c>
      <c r="C76" s="41">
        <v>0</v>
      </c>
      <c r="D76" s="41">
        <v>489.02</v>
      </c>
      <c r="E76" s="41">
        <v>0</v>
      </c>
      <c r="F76" s="41">
        <v>489.02</v>
      </c>
    </row>
    <row r="77" spans="1:6" ht="15" customHeight="1" x14ac:dyDescent="0.3">
      <c r="A77" s="39" t="s">
        <v>651</v>
      </c>
      <c r="B77" s="31" t="s">
        <v>652</v>
      </c>
      <c r="C77" s="41">
        <v>0</v>
      </c>
      <c r="D77" s="41">
        <v>7273.92</v>
      </c>
      <c r="E77" s="41">
        <v>0</v>
      </c>
      <c r="F77" s="41">
        <v>7273.92</v>
      </c>
    </row>
    <row r="78" spans="1:6" ht="15" customHeight="1" x14ac:dyDescent="0.3">
      <c r="A78" s="39" t="s">
        <v>653</v>
      </c>
      <c r="B78" s="31" t="s">
        <v>654</v>
      </c>
      <c r="C78" s="41">
        <v>0</v>
      </c>
      <c r="D78" s="41">
        <v>4037.78</v>
      </c>
      <c r="E78" s="41">
        <v>0</v>
      </c>
      <c r="F78" s="41">
        <v>4037.78</v>
      </c>
    </row>
    <row r="79" spans="1:6" ht="15" customHeight="1" x14ac:dyDescent="0.3">
      <c r="A79" s="39" t="s">
        <v>655</v>
      </c>
      <c r="B79" s="31" t="s">
        <v>656</v>
      </c>
      <c r="C79" s="41">
        <v>0</v>
      </c>
      <c r="D79" s="41">
        <v>1538.29</v>
      </c>
      <c r="E79" s="41">
        <v>0</v>
      </c>
      <c r="F79" s="41">
        <v>1538.29</v>
      </c>
    </row>
    <row r="80" spans="1:6" ht="15" customHeight="1" x14ac:dyDescent="0.3">
      <c r="A80" s="39" t="s">
        <v>657</v>
      </c>
      <c r="B80" s="31" t="s">
        <v>658</v>
      </c>
      <c r="C80" s="41">
        <v>0</v>
      </c>
      <c r="D80" s="41">
        <v>166250.26999999999</v>
      </c>
      <c r="E80" s="41">
        <v>0</v>
      </c>
      <c r="F80" s="41">
        <v>166250.26999999999</v>
      </c>
    </row>
    <row r="81" spans="1:6" ht="15" customHeight="1" x14ac:dyDescent="0.3">
      <c r="A81" s="39" t="s">
        <v>659</v>
      </c>
      <c r="B81" s="31" t="s">
        <v>660</v>
      </c>
      <c r="C81" s="41">
        <v>0</v>
      </c>
      <c r="D81" s="41">
        <v>427.53</v>
      </c>
      <c r="E81" s="41">
        <v>0</v>
      </c>
      <c r="F81" s="41">
        <v>427.53</v>
      </c>
    </row>
    <row r="82" spans="1:6" ht="15" customHeight="1" x14ac:dyDescent="0.3">
      <c r="A82" s="39" t="s">
        <v>661</v>
      </c>
      <c r="B82" s="31" t="s">
        <v>662</v>
      </c>
      <c r="C82" s="41">
        <v>0</v>
      </c>
      <c r="D82" s="41">
        <v>0</v>
      </c>
      <c r="E82" s="41">
        <v>635.02</v>
      </c>
      <c r="F82" s="41">
        <v>-635.02</v>
      </c>
    </row>
    <row r="83" spans="1:6" ht="15" customHeight="1" x14ac:dyDescent="0.3">
      <c r="A83" s="39" t="s">
        <v>663</v>
      </c>
      <c r="B83" s="31" t="s">
        <v>664</v>
      </c>
      <c r="C83" s="41">
        <v>0</v>
      </c>
      <c r="D83" s="41">
        <v>3432.45</v>
      </c>
      <c r="E83" s="41">
        <v>0</v>
      </c>
      <c r="F83" s="41">
        <v>3432.45</v>
      </c>
    </row>
    <row r="84" spans="1:6" ht="15" customHeight="1" x14ac:dyDescent="0.3">
      <c r="A84" s="39" t="s">
        <v>665</v>
      </c>
      <c r="B84" s="32" t="s">
        <v>433</v>
      </c>
      <c r="C84" s="44">
        <v>0</v>
      </c>
      <c r="D84" s="44">
        <v>645399.37</v>
      </c>
      <c r="E84" s="44">
        <v>0</v>
      </c>
      <c r="F84" s="44">
        <v>645399.37</v>
      </c>
    </row>
    <row r="85" spans="1:6" ht="15" customHeight="1" x14ac:dyDescent="0.3">
      <c r="A85" s="39"/>
      <c r="B85" s="28" t="s">
        <v>152</v>
      </c>
      <c r="C85" s="46">
        <v>0</v>
      </c>
      <c r="D85" s="46">
        <v>2463596.54</v>
      </c>
      <c r="E85" s="46">
        <v>2463596.54</v>
      </c>
      <c r="F85" s="46">
        <v>0</v>
      </c>
    </row>
  </sheetData>
  <mergeCells count="4">
    <mergeCell ref="A3:F3"/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Summary Page</vt:lpstr>
      <vt:lpstr>111100 PNC Cash</vt:lpstr>
      <vt:lpstr>111210 Cash - Development - Bof</vt:lpstr>
      <vt:lpstr>115100 DACA</vt:lpstr>
      <vt:lpstr>115200 RET Escrow</vt:lpstr>
      <vt:lpstr>115300 Insurance Escrow</vt:lpstr>
      <vt:lpstr>115600 Loan Reserve</vt:lpstr>
      <vt:lpstr>131100 AR Aging</vt:lpstr>
      <vt:lpstr>133100 Accounts Receivable - Ot</vt:lpstr>
      <vt:lpstr>133110 AR Billback</vt:lpstr>
      <vt:lpstr>RE Tax Analysis</vt:lpstr>
      <vt:lpstr>Insurance Analysis</vt:lpstr>
      <vt:lpstr>Loan Analysis</vt:lpstr>
      <vt:lpstr>135150 PPD Other</vt:lpstr>
      <vt:lpstr>141100 Due From-(To) Related Pa</vt:lpstr>
      <vt:lpstr>152100 Land</vt:lpstr>
      <vt:lpstr>154100 Building</vt:lpstr>
      <vt:lpstr>154500 Building Improvements</vt:lpstr>
      <vt:lpstr>181200 Leasing Commissions</vt:lpstr>
      <vt:lpstr>181300 Legal Leasing Costs</vt:lpstr>
      <vt:lpstr>181400 Tenant Improvement</vt:lpstr>
      <vt:lpstr>187100 Finance Costs</vt:lpstr>
      <vt:lpstr>211100 Accounts Payable - Contr</vt:lpstr>
      <vt:lpstr>211300 Accounts Payable - Other</vt:lpstr>
      <vt:lpstr>213100 Accr Exp</vt:lpstr>
      <vt:lpstr>217200 Security Deposit - Other</vt:lpstr>
      <vt:lpstr>221100 Prepaid Rent - Tenant</vt:lpstr>
      <vt:lpstr>311100 Contributions-Partner A</vt:lpstr>
      <vt:lpstr>331100 Distributions - A</vt:lpstr>
      <vt:lpstr>381100 Retained Earnings - C</vt:lpstr>
      <vt:lpstr>Trial 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C. Walsh</cp:lastModifiedBy>
  <dcterms:created xsi:type="dcterms:W3CDTF">2026-05-12T14:43:41Z</dcterms:created>
  <dcterms:modified xsi:type="dcterms:W3CDTF">2026-05-13T17:21:01Z</dcterms:modified>
</cp:coreProperties>
</file>