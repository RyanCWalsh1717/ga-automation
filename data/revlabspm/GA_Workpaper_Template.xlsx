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5" windowWidth="29040" windowHeight="15720" tabRatio="600" firstSheet="0" activeTab="0" autoFilterDateGrouping="1"/>
  </bookViews>
  <sheets>
    <sheet xmlns:r="http://schemas.openxmlformats.org/officeDocument/2006/relationships" name="Summary Page" sheetId="1" state="visible" r:id="rId1"/>
    <sheet xmlns:r="http://schemas.openxmlformats.org/officeDocument/2006/relationships" name="111100 PNC Cash" sheetId="2" state="visible" r:id="rId2"/>
    <sheet xmlns:r="http://schemas.openxmlformats.org/officeDocument/2006/relationships" name="111210 Cash - Development - Bof" sheetId="3" state="visible" r:id="rId3"/>
    <sheet xmlns:r="http://schemas.openxmlformats.org/officeDocument/2006/relationships" name="115100 DACA" sheetId="4" state="visible" r:id="rId4"/>
    <sheet xmlns:r="http://schemas.openxmlformats.org/officeDocument/2006/relationships" name="115200 RET Escrow" sheetId="5" state="visible" r:id="rId5"/>
    <sheet xmlns:r="http://schemas.openxmlformats.org/officeDocument/2006/relationships" name="115300 Insurance Escrow" sheetId="6" state="visible" r:id="rId6"/>
    <sheet xmlns:r="http://schemas.openxmlformats.org/officeDocument/2006/relationships" name="115600 Loan Reserve" sheetId="7" state="visible" r:id="rId7"/>
    <sheet xmlns:r="http://schemas.openxmlformats.org/officeDocument/2006/relationships" name="131100 AR Aging" sheetId="8" state="visible" r:id="rId8"/>
    <sheet xmlns:r="http://schemas.openxmlformats.org/officeDocument/2006/relationships" name="133100 Accounts Receivable - Ot" sheetId="9" state="visible" r:id="rId9"/>
    <sheet xmlns:r="http://schemas.openxmlformats.org/officeDocument/2006/relationships" name="133110 AR Billback" sheetId="10" state="visible" r:id="rId10"/>
    <sheet xmlns:r="http://schemas.openxmlformats.org/officeDocument/2006/relationships" name="RE Tax Analysis" sheetId="11" state="visible" r:id="rId11"/>
    <sheet xmlns:r="http://schemas.openxmlformats.org/officeDocument/2006/relationships" name="Insurance Analysis" sheetId="12" state="visible" r:id="rId12"/>
    <sheet xmlns:r="http://schemas.openxmlformats.org/officeDocument/2006/relationships" name="Loan Analysis" sheetId="13" state="visible" r:id="rId13"/>
    <sheet xmlns:r="http://schemas.openxmlformats.org/officeDocument/2006/relationships" name="135150 PPD Other" sheetId="14" state="visible" r:id="rId14"/>
    <sheet xmlns:r="http://schemas.openxmlformats.org/officeDocument/2006/relationships" name="141100 Due From-(To) Related Pa" sheetId="15" state="visible" r:id="rId15"/>
    <sheet xmlns:r="http://schemas.openxmlformats.org/officeDocument/2006/relationships" name="152100 Land" sheetId="16" state="visible" r:id="rId16"/>
    <sheet xmlns:r="http://schemas.openxmlformats.org/officeDocument/2006/relationships" name="154100 Building" sheetId="17" state="visible" r:id="rId17"/>
    <sheet xmlns:r="http://schemas.openxmlformats.org/officeDocument/2006/relationships" name="154500 Building Improvements" sheetId="18" state="visible" r:id="rId18"/>
    <sheet xmlns:r="http://schemas.openxmlformats.org/officeDocument/2006/relationships" name="181200 Leasing Commissions" sheetId="19" state="visible" r:id="rId19"/>
    <sheet xmlns:r="http://schemas.openxmlformats.org/officeDocument/2006/relationships" name="181300 Legal Leasing Costs" sheetId="20" state="visible" r:id="rId20"/>
    <sheet xmlns:r="http://schemas.openxmlformats.org/officeDocument/2006/relationships" name="181400 Tenant Improvement" sheetId="21" state="visible" r:id="rId21"/>
    <sheet xmlns:r="http://schemas.openxmlformats.org/officeDocument/2006/relationships" name="187100 Finance Costs" sheetId="22" state="visible" r:id="rId22"/>
    <sheet xmlns:r="http://schemas.openxmlformats.org/officeDocument/2006/relationships" name="211100 Accounts Payable - Contr" sheetId="23" state="visible" r:id="rId23"/>
    <sheet xmlns:r="http://schemas.openxmlformats.org/officeDocument/2006/relationships" name="211300 Accounts Payable - Other" sheetId="24" state="visible" r:id="rId24"/>
    <sheet xmlns:r="http://schemas.openxmlformats.org/officeDocument/2006/relationships" name="213100 Accr Exp" sheetId="25" state="visible" r:id="rId25"/>
    <sheet xmlns:r="http://schemas.openxmlformats.org/officeDocument/2006/relationships" name="217200 Security Deposit - Other" sheetId="26" state="visible" r:id="rId26"/>
    <sheet xmlns:r="http://schemas.openxmlformats.org/officeDocument/2006/relationships" name="221100 Prepaid Rent - Tenant" sheetId="27" state="visible" r:id="rId27"/>
    <sheet xmlns:r="http://schemas.openxmlformats.org/officeDocument/2006/relationships" name="311100 Contributions-Partner A" sheetId="28" state="visible" r:id="rId28"/>
    <sheet xmlns:r="http://schemas.openxmlformats.org/officeDocument/2006/relationships" name="331100 Distributions - A" sheetId="29" state="visible" r:id="rId29"/>
    <sheet xmlns:r="http://schemas.openxmlformats.org/officeDocument/2006/relationships" name="381100 Retained Earnings - C" sheetId="30" state="visible" r:id="rId30"/>
    <sheet xmlns:r="http://schemas.openxmlformats.org/officeDocument/2006/relationships" name="Trial Balance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\$#,##0.00"/>
    <numFmt numFmtId="165" formatCode="#,##0.00;\(#,##0.00\);&quot;-&quot;"/>
    <numFmt numFmtId="166" formatCode="&quot;$&quot;#,##0.00_);\(&quot;$&quot;#,##0.00\)"/>
    <numFmt numFmtId="167" formatCode="mm/dd/yyyy"/>
    <numFmt numFmtId="168" formatCode="m/d/yyyy;@"/>
    <numFmt numFmtId="169" formatCode="[$-10409]m/d/yyyy"/>
    <numFmt numFmtId="170" formatCode="[$-10409]#,##0.00;\-#,##0.00"/>
  </numFmts>
  <fonts count="3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444444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CC0000"/>
      <sz val="11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Arial"/>
      <family val="2"/>
      <sz val="10"/>
    </font>
    <font>
      <name val="Tahoma"/>
      <family val="2"/>
      <sz val="8"/>
    </font>
    <font>
      <name val="Calibri"/>
      <b val="1"/>
      <color rgb="FF002060"/>
      <sz val="11"/>
    </font>
    <font>
      <name val="Calibri"/>
      <b val="1"/>
      <sz val="11"/>
      <u val="single"/>
    </font>
    <font>
      <name val="Calibri"/>
      <sz val="11"/>
    </font>
    <font>
      <name val="Calibri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4"/>
    </font>
    <font>
      <name val="Calibri"/>
      <family val="2"/>
      <b val="1"/>
      <i val="1"/>
      <color rgb="FFFFFFFF"/>
      <sz val="11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0070C0"/>
      <sz val="11"/>
      <scheme val="minor"/>
    </font>
    <font>
      <name val="Arial"/>
      <family val="2"/>
      <b val="1"/>
      <sz val="8"/>
    </font>
    <font>
      <name val="Arial"/>
      <family val="2"/>
      <color rgb="FF000000"/>
      <sz val="6.5"/>
    </font>
    <font>
      <name val="Tahoma"/>
      <family val="2"/>
      <color rgb="FF000000"/>
      <sz val="7"/>
    </font>
    <font>
      <name val="Arial"/>
      <family val="2"/>
      <b val="1"/>
      <color rgb="FF000000"/>
      <sz val="8"/>
    </font>
    <font>
      <name val="Arial"/>
      <family val="2"/>
      <sz val="8"/>
    </font>
    <font>
      <name val="Arial"/>
      <family val="2"/>
      <color rgb="FF000000"/>
      <sz val="7"/>
    </font>
    <font>
      <name val="Calibri"/>
      <family val="2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8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Arial"/>
      <family val="2"/>
      <strike val="1"/>
      <color rgb="FF000000"/>
      <sz val="10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FFF2F2F2"/>
        <bgColor rgb="FFF2F2F2"/>
      </patternFill>
    </fill>
    <fill>
      <patternFill patternType="solid">
        <fgColor rgb="FF2D6F50"/>
        <bgColor rgb="FF2D6F50"/>
      </patternFill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1" tint="0.0499893185216834"/>
        <bgColor rgb="FF002060"/>
      </patternFill>
    </fill>
    <fill>
      <patternFill patternType="solid">
        <fgColor theme="1"/>
        <bgColor rgb="FF375623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4" fontId="11" fillId="0" borderId="0"/>
    <xf numFmtId="0" fontId="31" fillId="0" borderId="0"/>
  </cellStyleXfs>
  <cellXfs count="26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164" fontId="4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164" fontId="4" fillId="3" borderId="1" applyAlignment="1" pivotButton="0" quotePrefix="0" xfId="0">
      <alignment horizontal="right"/>
    </xf>
    <xf numFmtId="0" fontId="0" fillId="0" borderId="6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3" fillId="0" borderId="1" applyAlignment="1" pivotButton="0" quotePrefix="0" xfId="0">
      <alignment wrapText="1"/>
    </xf>
    <xf numFmtId="164" fontId="7" fillId="0" borderId="1" applyAlignment="1" pivotButton="0" quotePrefix="0" xfId="0">
      <alignment horizontal="right"/>
    </xf>
    <xf numFmtId="0" fontId="3" fillId="3" borderId="1" applyAlignment="1" pivotButton="0" quotePrefix="0" xfId="0">
      <alignment wrapText="1"/>
    </xf>
    <xf numFmtId="164" fontId="7" fillId="3" borderId="1" applyAlignment="1" pivotButton="0" quotePrefix="0" xfId="0">
      <alignment horizontal="right"/>
    </xf>
    <xf numFmtId="0" fontId="10" fillId="5" borderId="7" applyAlignment="1" pivotButton="0" quotePrefix="0" xfId="0">
      <alignment horizontal="left" vertical="center"/>
    </xf>
    <xf numFmtId="0" fontId="10" fillId="5" borderId="7" applyAlignment="1" pivotButton="0" quotePrefix="0" xfId="0">
      <alignment horizontal="right" vertical="center"/>
    </xf>
    <xf numFmtId="0" fontId="10" fillId="5" borderId="8" applyAlignment="1" pivotButton="0" quotePrefix="0" xfId="0">
      <alignment horizontal="left" vertical="center"/>
    </xf>
    <xf numFmtId="0" fontId="10" fillId="5" borderId="8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14" fontId="12" fillId="0" borderId="0" applyAlignment="1" pivotButton="0" quotePrefix="0" xfId="0">
      <alignment horizontal="left" vertical="center" wrapText="1"/>
    </xf>
    <xf numFmtId="4" fontId="12" fillId="0" borderId="0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left" vertical="center" wrapText="1"/>
    </xf>
    <xf numFmtId="14" fontId="12" fillId="0" borderId="10" applyAlignment="1" pivotButton="0" quotePrefix="0" xfId="0">
      <alignment horizontal="left" vertical="center" wrapText="1"/>
    </xf>
    <xf numFmtId="4" fontId="12" fillId="0" borderId="10" applyAlignment="1" pivotButton="0" quotePrefix="0" xfId="0">
      <alignment horizontal="right" vertical="center" wrapText="1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4" fontId="10" fillId="0" borderId="1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0" fillId="5" borderId="7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12" fillId="6" borderId="9" applyAlignment="1" pivotButton="0" quotePrefix="0" xfId="0">
      <alignment horizontal="center" vertical="center"/>
    </xf>
    <xf numFmtId="0" fontId="12" fillId="6" borderId="9" applyAlignment="1" pivotButton="0" quotePrefix="0" xfId="0">
      <alignment horizontal="left" vertical="center"/>
    </xf>
    <xf numFmtId="0" fontId="12" fillId="6" borderId="9" applyAlignment="1" pivotButton="0" quotePrefix="0" xfId="0">
      <alignment horizontal="right" vertical="center"/>
    </xf>
    <xf numFmtId="4" fontId="12" fillId="6" borderId="9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14" fontId="12" fillId="0" borderId="0" applyAlignment="1" pivotButton="0" quotePrefix="0" xfId="0">
      <alignment horizontal="center" vertical="center"/>
    </xf>
    <xf numFmtId="4" fontId="12" fillId="0" borderId="0" applyAlignment="1" pivotButton="0" quotePrefix="0" xfId="0">
      <alignment horizontal="right" vertical="center"/>
    </xf>
    <xf numFmtId="0" fontId="12" fillId="0" borderId="10" applyAlignment="1" pivotButton="0" quotePrefix="0" xfId="0">
      <alignment horizontal="center" vertical="center"/>
    </xf>
    <xf numFmtId="14" fontId="12" fillId="0" borderId="10" applyAlignment="1" pivotButton="0" quotePrefix="0" xfId="0">
      <alignment horizontal="center" vertical="center"/>
    </xf>
    <xf numFmtId="4" fontId="12" fillId="0" borderId="10" applyAlignment="1" pivotButton="0" quotePrefix="0" xfId="0">
      <alignment horizontal="right" vertical="center"/>
    </xf>
    <xf numFmtId="0" fontId="10" fillId="0" borderId="11" applyAlignment="1" pivotButton="0" quotePrefix="0" xfId="0">
      <alignment horizontal="center" vertical="center"/>
    </xf>
    <xf numFmtId="4" fontId="10" fillId="0" borderId="11" applyAlignment="1" pivotButton="0" quotePrefix="0" xfId="0">
      <alignment horizontal="right" vertical="center"/>
    </xf>
    <xf numFmtId="0" fontId="10" fillId="0" borderId="1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/>
    </xf>
    <xf numFmtId="0" fontId="13" fillId="0" borderId="0" pivotButton="0" quotePrefix="0" xfId="0"/>
    <xf numFmtId="165" fontId="0" fillId="0" borderId="0" pivotButton="0" quotePrefix="0" xfId="0"/>
    <xf numFmtId="0" fontId="15" fillId="0" borderId="1" pivotButton="0" quotePrefix="0" xfId="0"/>
    <xf numFmtId="165" fontId="15" fillId="0" borderId="1" applyAlignment="1" pivotButton="0" quotePrefix="0" xfId="0">
      <alignment horizontal="right"/>
    </xf>
    <xf numFmtId="0" fontId="15" fillId="0" borderId="1" applyAlignment="1" pivotButton="0" quotePrefix="0" xfId="0">
      <alignment horizontal="right"/>
    </xf>
    <xf numFmtId="0" fontId="15" fillId="3" borderId="1" pivotButton="0" quotePrefix="0" xfId="0"/>
    <xf numFmtId="165" fontId="15" fillId="3" borderId="1" applyAlignment="1" pivotButton="0" quotePrefix="0" xfId="0">
      <alignment horizontal="right"/>
    </xf>
    <xf numFmtId="0" fontId="15" fillId="3" borderId="1" applyAlignment="1" pivotButton="0" quotePrefix="0" xfId="0">
      <alignment horizontal="right"/>
    </xf>
    <xf numFmtId="0" fontId="16" fillId="0" borderId="0" pivotButton="0" quotePrefix="0" xfId="0"/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left" vertical="center"/>
    </xf>
    <xf numFmtId="4" fontId="12" fillId="0" borderId="9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left" vertical="center"/>
    </xf>
    <xf numFmtId="0" fontId="11" fillId="0" borderId="10" pivotButton="0" quotePrefix="0" xfId="0"/>
    <xf numFmtId="0" fontId="8" fillId="0" borderId="0" applyAlignment="1" pivotButton="0" quotePrefix="0" xfId="0">
      <alignment horizontal="left" vertical="center"/>
    </xf>
    <xf numFmtId="0" fontId="10" fillId="6" borderId="9" applyAlignment="1" pivotButton="0" quotePrefix="0" xfId="0">
      <alignment horizontal="left" vertical="center"/>
    </xf>
    <xf numFmtId="0" fontId="11" fillId="0" borderId="9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11" fillId="0" borderId="11" pivotButton="0" quotePrefix="0" xfId="0"/>
    <xf numFmtId="0" fontId="8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0" fillId="0" borderId="0" pivotButton="0" quotePrefix="0" xfId="0"/>
    <xf numFmtId="0" fontId="17" fillId="2" borderId="1" applyAlignment="1" pivotButton="0" quotePrefix="0" xfId="0">
      <alignment horizontal="center" vertical="center"/>
    </xf>
    <xf numFmtId="0" fontId="1" fillId="4" borderId="14" applyAlignment="1" pivotButton="0" quotePrefix="0" xfId="0">
      <alignment horizontal="left"/>
    </xf>
    <xf numFmtId="0" fontId="1" fillId="4" borderId="3" applyAlignment="1" pivotButton="0" quotePrefix="0" xfId="0">
      <alignment horizontal="left"/>
    </xf>
    <xf numFmtId="0" fontId="1" fillId="4" borderId="3" applyAlignment="1" pivotButton="0" quotePrefix="0" xfId="0">
      <alignment horizontal="left"/>
    </xf>
    <xf numFmtId="0" fontId="3" fillId="0" borderId="1" pivotButton="0" quotePrefix="0" xfId="0"/>
    <xf numFmtId="0" fontId="18" fillId="0" borderId="14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164" fontId="1" fillId="4" borderId="14" applyAlignment="1" pivotButton="0" quotePrefix="0" xfId="0">
      <alignment horizontal="left"/>
    </xf>
    <xf numFmtId="0" fontId="1" fillId="7" borderId="12" applyAlignment="1" pivotButton="0" quotePrefix="0" xfId="0">
      <alignment horizontal="left"/>
    </xf>
    <xf numFmtId="0" fontId="1" fillId="7" borderId="13" applyAlignment="1" pivotButton="0" quotePrefix="0" xfId="0">
      <alignment horizontal="left"/>
    </xf>
    <xf numFmtId="164" fontId="1" fillId="7" borderId="12" applyAlignment="1" pivotButton="0" quotePrefix="0" xfId="0">
      <alignment horizontal="left"/>
    </xf>
    <xf numFmtId="0" fontId="1" fillId="4" borderId="4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0" fontId="19" fillId="4" borderId="0" applyAlignment="1" pivotButton="0" quotePrefix="0" xfId="0">
      <alignment horizontal="left"/>
    </xf>
    <xf numFmtId="0" fontId="20" fillId="4" borderId="0" applyAlignment="1" pivotButton="0" quotePrefix="0" xfId="0">
      <alignment horizontal="left"/>
    </xf>
    <xf numFmtId="164" fontId="21" fillId="0" borderId="1" applyAlignment="1" pivotButton="0" quotePrefix="0" xfId="0">
      <alignment horizontal="left"/>
    </xf>
    <xf numFmtId="0" fontId="19" fillId="4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wrapText="1"/>
    </xf>
    <xf numFmtId="164" fontId="4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left" wrapText="1"/>
    </xf>
    <xf numFmtId="164" fontId="4" fillId="3" borderId="1" applyAlignment="1" pivotButton="0" quotePrefix="0" xfId="0">
      <alignment horizontal="left"/>
    </xf>
    <xf numFmtId="0" fontId="1" fillId="7" borderId="13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22" fillId="0" borderId="1" applyAlignment="1" pivotButton="0" quotePrefix="0" xfId="0">
      <alignment wrapText="1"/>
    </xf>
    <xf numFmtId="0" fontId="17" fillId="2" borderId="15" applyAlignment="1" pivotButton="0" quotePrefix="0" xfId="0">
      <alignment horizontal="center" vertical="center"/>
    </xf>
    <xf numFmtId="0" fontId="1" fillId="4" borderId="14" pivotButton="0" quotePrefix="0" xfId="0"/>
    <xf numFmtId="0" fontId="1" fillId="4" borderId="4" pivotButton="0" quotePrefix="0" xfId="0"/>
    <xf numFmtId="164" fontId="23" fillId="0" borderId="0" applyAlignment="1" pivotButton="0" quotePrefix="0" xfId="0">
      <alignment horizontal="left"/>
    </xf>
    <xf numFmtId="164" fontId="1" fillId="7" borderId="1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7" fillId="2" borderId="1" applyAlignment="1" pivotButton="0" quotePrefix="0" xfId="0">
      <alignment horizontal="left" vertical="center"/>
    </xf>
    <xf numFmtId="0" fontId="0" fillId="0" borderId="0" pivotButton="0" quotePrefix="0" xfId="0"/>
    <xf numFmtId="0" fontId="18" fillId="0" borderId="14" pivotButton="0" quotePrefix="0" xfId="0"/>
    <xf numFmtId="0" fontId="18" fillId="0" borderId="1" pivotButton="0" quotePrefix="0" xfId="0"/>
    <xf numFmtId="164" fontId="23" fillId="0" borderId="18" applyAlignment="1" pivotButton="0" quotePrefix="0" xfId="0">
      <alignment horizontal="left"/>
    </xf>
    <xf numFmtId="164" fontId="23" fillId="0" borderId="16" applyAlignment="1" pivotButton="0" quotePrefix="0" xfId="0">
      <alignment horizontal="left"/>
    </xf>
    <xf numFmtId="0" fontId="4" fillId="0" borderId="1" pivotButton="0" quotePrefix="0" xfId="0"/>
    <xf numFmtId="0" fontId="4" fillId="3" borderId="1" pivotButton="0" quotePrefix="0" xfId="0"/>
    <xf numFmtId="166" fontId="4" fillId="3" borderId="1" applyAlignment="1" pivotButton="0" quotePrefix="0" xfId="0">
      <alignment wrapText="1"/>
    </xf>
    <xf numFmtId="166" fontId="4" fillId="3" borderId="1" applyAlignment="1" pivotButton="0" quotePrefix="0" xfId="0">
      <alignment horizontal="left"/>
    </xf>
    <xf numFmtId="166" fontId="4" fillId="3" borderId="1" applyAlignment="1" pivotButton="0" quotePrefix="0" xfId="0">
      <alignment horizontal="left" wrapText="1"/>
    </xf>
    <xf numFmtId="0" fontId="4" fillId="0" borderId="1" applyAlignment="1" pivotButton="0" quotePrefix="0" xfId="0">
      <alignment wrapText="1"/>
    </xf>
    <xf numFmtId="166" fontId="4" fillId="0" borderId="1" applyAlignment="1" pivotButton="0" quotePrefix="0" xfId="0">
      <alignment horizontal="left" wrapText="1"/>
    </xf>
    <xf numFmtId="166" fontId="4" fillId="0" borderId="1" applyAlignment="1" pivotButton="0" quotePrefix="0" xfId="0">
      <alignment horizontal="left"/>
    </xf>
    <xf numFmtId="0" fontId="4" fillId="0" borderId="2" pivotButton="0" quotePrefix="0" xfId="0"/>
    <xf numFmtId="0" fontId="4" fillId="0" borderId="2" pivotButton="0" quotePrefix="0" xfId="0"/>
    <xf numFmtId="164" fontId="4" fillId="0" borderId="2" applyAlignment="1" pivotButton="0" quotePrefix="0" xfId="0">
      <alignment horizontal="right"/>
    </xf>
    <xf numFmtId="0" fontId="4" fillId="0" borderId="3" applyAlignment="1" pivotButton="0" quotePrefix="0" xfId="0">
      <alignment wrapText="1"/>
    </xf>
    <xf numFmtId="164" fontId="4" fillId="0" borderId="3" applyAlignment="1" pivotButton="0" quotePrefix="0" xfId="0">
      <alignment horizontal="right"/>
    </xf>
    <xf numFmtId="0" fontId="4" fillId="0" borderId="2" pivotButton="0" quotePrefix="0" xfId="0"/>
    <xf numFmtId="164" fontId="4" fillId="0" borderId="2" applyAlignment="1" pivotButton="0" quotePrefix="0" xfId="0">
      <alignment horizontal="right"/>
    </xf>
    <xf numFmtId="0" fontId="17" fillId="2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left"/>
    </xf>
    <xf numFmtId="0" fontId="1" fillId="4" borderId="0" pivotButton="0" quotePrefix="0" xfId="0"/>
    <xf numFmtId="0" fontId="20" fillId="4" borderId="0" applyAlignment="1" pivotButton="0" quotePrefix="0" xfId="0">
      <alignment horizontal="center"/>
    </xf>
    <xf numFmtId="0" fontId="1" fillId="7" borderId="16" applyAlignment="1" pivotButton="0" quotePrefix="0" xfId="0">
      <alignment horizontal="left"/>
    </xf>
    <xf numFmtId="0" fontId="1" fillId="7" borderId="17" applyAlignment="1" pivotButton="0" quotePrefix="0" xfId="0">
      <alignment horizontal="left"/>
    </xf>
    <xf numFmtId="0" fontId="1" fillId="7" borderId="17" applyAlignment="1" pivotButton="0" quotePrefix="0" xfId="0">
      <alignment horizontal="left"/>
    </xf>
    <xf numFmtId="0" fontId="5" fillId="0" borderId="2" pivotButton="0" quotePrefix="0" xfId="0"/>
    <xf numFmtId="165" fontId="5" fillId="0" borderId="2" pivotButton="0" quotePrefix="0" xfId="0"/>
    <xf numFmtId="0" fontId="17" fillId="2" borderId="1" applyAlignment="1" pivotButton="0" quotePrefix="0" xfId="0">
      <alignment horizontal="center" wrapText="1"/>
    </xf>
    <xf numFmtId="0" fontId="17" fillId="2" borderId="15" applyAlignment="1" pivotButton="0" quotePrefix="0" xfId="0">
      <alignment horizontal="center" wrapText="1"/>
    </xf>
    <xf numFmtId="14" fontId="4" fillId="0" borderId="1" pivotButton="0" quotePrefix="0" xfId="0"/>
    <xf numFmtId="14" fontId="4" fillId="3" borderId="1" pivotButton="0" quotePrefix="0" xfId="0"/>
    <xf numFmtId="14" fontId="4" fillId="0" borderId="1" applyAlignment="1" pivotButton="0" quotePrefix="0" xfId="0">
      <alignment horizontal="left"/>
    </xf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7" fontId="24" fillId="0" borderId="0" applyAlignment="1" pivotButton="0" quotePrefix="0" xfId="0">
      <alignment horizontal="left"/>
    </xf>
    <xf numFmtId="0" fontId="1" fillId="7" borderId="20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18" fillId="0" borderId="17" pivotButton="0" quotePrefix="0" xfId="0"/>
    <xf numFmtId="0" fontId="1" fillId="7" borderId="20" pivotButton="0" quotePrefix="0" xfId="0"/>
    <xf numFmtId="0" fontId="0" fillId="3" borderId="1" applyAlignment="1" pivotButton="0" quotePrefix="0" xfId="0">
      <alignment horizontal="left"/>
    </xf>
    <xf numFmtId="14" fontId="0" fillId="0" borderId="1" applyAlignment="1" pivotButton="0" quotePrefix="0" xfId="0">
      <alignment horizontal="left"/>
    </xf>
    <xf numFmtId="14" fontId="0" fillId="3" borderId="1" applyAlignment="1" pivotButton="0" quotePrefix="0" xfId="0">
      <alignment horizontal="left"/>
    </xf>
    <xf numFmtId="167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167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0" fontId="1" fillId="7" borderId="12" pivotButton="0" quotePrefix="0" xfId="0"/>
    <xf numFmtId="0" fontId="1" fillId="7" borderId="13" pivotButton="0" quotePrefix="0" xfId="0"/>
    <xf numFmtId="0" fontId="1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left"/>
    </xf>
    <xf numFmtId="0" fontId="15" fillId="3" borderId="1" applyAlignment="1" pivotButton="0" quotePrefix="0" xfId="0">
      <alignment horizontal="left"/>
    </xf>
    <xf numFmtId="165" fontId="15" fillId="3" borderId="1" applyAlignment="1" pivotButton="0" quotePrefix="0" xfId="0">
      <alignment horizontal="left"/>
    </xf>
    <xf numFmtId="0" fontId="17" fillId="8" borderId="1" applyAlignment="1" pivotButton="0" quotePrefix="0" xfId="0">
      <alignment horizontal="center" vertical="center" wrapText="1"/>
    </xf>
    <xf numFmtId="14" fontId="15" fillId="0" borderId="1" applyAlignment="1" pivotButton="0" quotePrefix="0" xfId="0">
      <alignment horizontal="left"/>
    </xf>
    <xf numFmtId="14" fontId="15" fillId="3" borderId="1" applyAlignment="1" pivotButton="0" quotePrefix="0" xfId="0">
      <alignment horizontal="left"/>
    </xf>
    <xf numFmtId="0" fontId="1" fillId="4" borderId="3" pivotButton="0" quotePrefix="0" xfId="0"/>
    <xf numFmtId="0" fontId="1" fillId="7" borderId="21" pivotButton="0" quotePrefix="0" xfId="0"/>
    <xf numFmtId="0" fontId="18" fillId="0" borderId="19" pivotButton="0" quotePrefix="0" xfId="0"/>
    <xf numFmtId="0" fontId="15" fillId="0" borderId="16" pivotButton="0" quotePrefix="0" xfId="0"/>
    <xf numFmtId="0" fontId="15" fillId="0" borderId="17" pivotButton="0" quotePrefix="0" xfId="0"/>
    <xf numFmtId="165" fontId="15" fillId="0" borderId="0" applyAlignment="1" pivotButton="0" quotePrefix="0" xfId="0">
      <alignment horizontal="left"/>
    </xf>
    <xf numFmtId="14" fontId="15" fillId="0" borderId="0" applyAlignment="1" pivotButton="0" quotePrefix="0" xfId="0">
      <alignment horizontal="left"/>
    </xf>
    <xf numFmtId="165" fontId="15" fillId="0" borderId="15" applyAlignment="1" pivotButton="0" quotePrefix="0" xfId="0">
      <alignment horizontal="left"/>
    </xf>
    <xf numFmtId="165" fontId="15" fillId="0" borderId="16" applyAlignment="1" pivotButton="0" quotePrefix="0" xfId="0">
      <alignment horizontal="left"/>
    </xf>
    <xf numFmtId="165" fontId="1" fillId="7" borderId="12" applyAlignment="1" pivotButton="0" quotePrefix="0" xfId="0">
      <alignment horizontal="left"/>
    </xf>
    <xf numFmtId="168" fontId="26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5" fillId="0" borderId="0" applyAlignment="1" pivotButton="0" quotePrefix="0" xfId="0">
      <alignment vertical="top"/>
    </xf>
    <xf numFmtId="4" fontId="28" fillId="0" borderId="0" applyAlignment="1" pivotButton="0" quotePrefix="0" xfId="0">
      <alignment vertical="top" shrinkToFit="1"/>
    </xf>
    <xf numFmtId="168" fontId="26" fillId="0" borderId="0" applyAlignment="1" pivotButton="0" quotePrefix="0" xfId="0">
      <alignment vertical="top" shrinkToFit="1"/>
    </xf>
    <xf numFmtId="0" fontId="29" fillId="0" borderId="0" applyAlignment="1" pivotButton="0" quotePrefix="0" xfId="0">
      <alignment vertical="top"/>
    </xf>
    <xf numFmtId="168" fontId="30" fillId="0" borderId="0" applyAlignment="1" pivotButton="0" quotePrefix="0" xfId="0">
      <alignment vertical="top" shrinkToFit="1"/>
    </xf>
    <xf numFmtId="0" fontId="23" fillId="0" borderId="0" pivotButton="0" quotePrefix="0" xfId="2"/>
    <xf numFmtId="0" fontId="32" fillId="0" borderId="0" applyAlignment="1" pivotButton="0" quotePrefix="0" xfId="2">
      <alignment horizontal="center" vertical="top" wrapText="1" readingOrder="1"/>
    </xf>
    <xf numFmtId="0" fontId="23" fillId="0" borderId="0" pivotButton="0" quotePrefix="0" xfId="2"/>
    <xf numFmtId="169" fontId="26" fillId="0" borderId="0" applyAlignment="1" pivotButton="0" quotePrefix="0" xfId="2">
      <alignment horizontal="right" vertical="top" wrapText="1" readingOrder="1"/>
    </xf>
    <xf numFmtId="169" fontId="32" fillId="0" borderId="0" applyAlignment="1" pivotButton="0" quotePrefix="0" xfId="2">
      <alignment horizontal="center" vertical="top" wrapText="1" readingOrder="1"/>
    </xf>
    <xf numFmtId="0" fontId="28" fillId="0" borderId="0" applyAlignment="1" pivotButton="0" quotePrefix="0" xfId="2">
      <alignment horizontal="center" vertical="top" wrapText="1" readingOrder="1"/>
    </xf>
    <xf numFmtId="169" fontId="27" fillId="0" borderId="0" applyAlignment="1" pivotButton="0" quotePrefix="0" xfId="2">
      <alignment horizontal="left" vertical="top" wrapText="1" readingOrder="1"/>
    </xf>
    <xf numFmtId="0" fontId="27" fillId="0" borderId="0" applyAlignment="1" pivotButton="0" quotePrefix="0" xfId="2">
      <alignment horizontal="center" vertical="top" wrapText="1" readingOrder="1"/>
    </xf>
    <xf numFmtId="0" fontId="27" fillId="0" borderId="0" applyAlignment="1" pivotButton="0" quotePrefix="0" xfId="2">
      <alignment horizontal="left" vertical="top" wrapText="1" readingOrder="1"/>
    </xf>
    <xf numFmtId="170" fontId="27" fillId="0" borderId="0" applyAlignment="1" pivotButton="0" quotePrefix="0" xfId="2">
      <alignment horizontal="right" vertical="top" wrapText="1" readingOrder="1"/>
    </xf>
    <xf numFmtId="0" fontId="28" fillId="0" borderId="0" applyAlignment="1" pivotButton="0" quotePrefix="0" xfId="2">
      <alignment vertical="top" wrapText="1" readingOrder="1"/>
    </xf>
    <xf numFmtId="170" fontId="28" fillId="0" borderId="0" applyAlignment="1" pivotButton="0" quotePrefix="0" xfId="2">
      <alignment vertical="top" wrapText="1" readingOrder="1"/>
    </xf>
    <xf numFmtId="0" fontId="28" fillId="0" borderId="0" applyAlignment="1" pivotButton="0" quotePrefix="0" xfId="2">
      <alignment horizontal="left" vertical="top" wrapText="1" readingOrder="1"/>
    </xf>
    <xf numFmtId="0" fontId="27" fillId="0" borderId="7" applyAlignment="1" pivotButton="0" quotePrefix="0" xfId="2">
      <alignment horizontal="left" vertical="top" wrapText="1" readingOrder="1"/>
    </xf>
    <xf numFmtId="0" fontId="23" fillId="0" borderId="7" applyAlignment="1" pivotButton="0" quotePrefix="0" xfId="2">
      <alignment vertical="top" wrapText="1"/>
    </xf>
    <xf numFmtId="0" fontId="27" fillId="0" borderId="7" applyAlignment="1" pivotButton="0" quotePrefix="0" xfId="2">
      <alignment horizontal="center" vertical="top" wrapText="1" readingOrder="1"/>
    </xf>
    <xf numFmtId="0" fontId="27" fillId="0" borderId="7" applyAlignment="1" pivotButton="0" quotePrefix="0" xfId="2">
      <alignment horizontal="right" vertical="top" wrapText="1" readingOrder="1"/>
    </xf>
    <xf numFmtId="170" fontId="28" fillId="0" borderId="7" applyAlignment="1" pivotButton="0" quotePrefix="0" xfId="2">
      <alignment horizontal="right" vertical="top" wrapText="1" readingOrder="1"/>
    </xf>
    <xf numFmtId="0" fontId="33" fillId="0" borderId="0" applyAlignment="1" pivotButton="0" quotePrefix="0" xfId="2">
      <alignment vertical="top" wrapText="1" readingOrder="1"/>
    </xf>
    <xf numFmtId="170" fontId="28" fillId="0" borderId="22" applyAlignment="1" pivotButton="0" quotePrefix="0" xfId="2">
      <alignment vertical="top" wrapText="1" readingOrder="1"/>
    </xf>
    <xf numFmtId="0" fontId="23" fillId="0" borderId="22" applyAlignment="1" pivotButton="0" quotePrefix="0" xfId="2">
      <alignment vertical="top" wrapText="1"/>
    </xf>
    <xf numFmtId="0" fontId="34" fillId="0" borderId="0" applyAlignment="1" pivotButton="0" quotePrefix="0" xfId="2">
      <alignment vertical="top" wrapText="1" readingOrder="1"/>
    </xf>
    <xf numFmtId="0" fontId="33" fillId="0" borderId="7" applyAlignment="1" pivotButton="0" quotePrefix="0" xfId="2">
      <alignment vertical="top" wrapText="1" readingOrder="1"/>
    </xf>
    <xf numFmtId="0" fontId="35" fillId="0" borderId="0" applyAlignment="1" pivotButton="0" quotePrefix="0" xfId="2">
      <alignment vertical="top" wrapText="1" readingOrder="1"/>
    </xf>
    <xf numFmtId="169" fontId="30" fillId="0" borderId="0" applyAlignment="1" pivotButton="0" quotePrefix="0" xfId="2">
      <alignment horizontal="left" vertical="top" wrapText="1" readingOrder="1"/>
    </xf>
    <xf numFmtId="0" fontId="30" fillId="0" borderId="0" applyAlignment="1" pivotButton="0" quotePrefix="0" xfId="2">
      <alignment horizontal="center" vertical="top" wrapText="1" readingOrder="1"/>
    </xf>
    <xf numFmtId="0" fontId="30" fillId="0" borderId="0" applyAlignment="1" pivotButton="0" quotePrefix="0" xfId="2">
      <alignment horizontal="left" vertical="top" wrapText="1" readingOrder="1"/>
    </xf>
    <xf numFmtId="170" fontId="30" fillId="0" borderId="0" applyAlignment="1" pivotButton="0" quotePrefix="0" xfId="2">
      <alignment horizontal="right" vertical="top" wrapText="1" readingOrder="1"/>
    </xf>
    <xf numFmtId="169" fontId="30" fillId="0" borderId="0" applyAlignment="1" pivotButton="0" quotePrefix="0" xfId="2">
      <alignment horizontal="right" vertical="top" wrapText="1" readingOrder="1"/>
    </xf>
    <xf numFmtId="170" fontId="28" fillId="0" borderId="8" applyAlignment="1" pivotButton="0" quotePrefix="0" xfId="2">
      <alignment vertical="top" wrapText="1" readingOrder="1"/>
    </xf>
    <xf numFmtId="0" fontId="23" fillId="0" borderId="8" applyAlignment="1" pivotButton="0" quotePrefix="0" xfId="2">
      <alignment vertical="top" wrapText="1"/>
    </xf>
    <xf numFmtId="0" fontId="36" fillId="0" borderId="9" applyAlignment="1" pivotButton="0" quotePrefix="0" xfId="2">
      <alignment vertical="top" wrapText="1" readingOrder="1"/>
    </xf>
    <xf numFmtId="0" fontId="23" fillId="0" borderId="9" applyAlignment="1" pivotButton="0" quotePrefix="0" xfId="2">
      <alignment vertical="top" wrapText="1"/>
    </xf>
    <xf numFmtId="0" fontId="23" fillId="0" borderId="0" pivotButton="0" quotePrefix="0" xfId="2"/>
    <xf numFmtId="169" fontId="26" fillId="0" borderId="0" applyAlignment="1" pivotButton="0" quotePrefix="0" xfId="2">
      <alignment horizontal="right" vertical="top" wrapText="1" readingOrder="1"/>
    </xf>
    <xf numFmtId="0" fontId="33" fillId="0" borderId="0" applyAlignment="1" pivotButton="0" quotePrefix="0" xfId="2">
      <alignment vertical="top" wrapText="1" readingOrder="1"/>
    </xf>
    <xf numFmtId="0" fontId="23" fillId="0" borderId="0" pivotButton="0" quotePrefix="0" xfId="2"/>
    <xf numFmtId="168" fontId="26" fillId="0" borderId="0" applyAlignment="1" pivotButton="0" quotePrefix="0" xfId="0">
      <alignment vertical="center" shrinkToFit="1"/>
    </xf>
    <xf numFmtId="169" fontId="26" fillId="0" borderId="0" applyAlignment="1" pivotButton="0" quotePrefix="0" xfId="2">
      <alignment horizontal="right" vertical="top" wrapText="1" readingOrder="1"/>
    </xf>
    <xf numFmtId="169" fontId="32" fillId="0" borderId="0" applyAlignment="1" pivotButton="0" quotePrefix="0" xfId="2">
      <alignment horizontal="center" vertical="top" wrapText="1" readingOrder="1"/>
    </xf>
    <xf numFmtId="170" fontId="28" fillId="0" borderId="0" applyAlignment="1" pivotButton="0" quotePrefix="0" xfId="2">
      <alignment vertical="top" wrapText="1" readingOrder="1"/>
    </xf>
    <xf numFmtId="0" fontId="0" fillId="0" borderId="7" pivotButton="0" quotePrefix="0" xfId="0"/>
    <xf numFmtId="169" fontId="27" fillId="0" borderId="0" applyAlignment="1" pivotButton="0" quotePrefix="0" xfId="2">
      <alignment horizontal="left" vertical="top" wrapText="1" readingOrder="1"/>
    </xf>
    <xf numFmtId="170" fontId="27" fillId="0" borderId="0" applyAlignment="1" pivotButton="0" quotePrefix="0" xfId="2">
      <alignment horizontal="right" vertical="top" wrapText="1" readingOrder="1"/>
    </xf>
    <xf numFmtId="170" fontId="28" fillId="0" borderId="7" applyAlignment="1" pivotButton="0" quotePrefix="0" xfId="2">
      <alignment horizontal="right" vertical="top" wrapText="1" readingOrder="1"/>
    </xf>
    <xf numFmtId="170" fontId="28" fillId="0" borderId="22" applyAlignment="1" pivotButton="0" quotePrefix="0" xfId="2">
      <alignment vertical="top" wrapText="1" readingOrder="1"/>
    </xf>
    <xf numFmtId="0" fontId="0" fillId="0" borderId="22" pivotButton="0" quotePrefix="0" xfId="0"/>
    <xf numFmtId="168" fontId="26" fillId="0" borderId="0" applyAlignment="1" pivotButton="0" quotePrefix="0" xfId="0">
      <alignment vertical="top" shrinkToFit="1"/>
    </xf>
    <xf numFmtId="168" fontId="30" fillId="0" borderId="0" applyAlignment="1" pivotButton="0" quotePrefix="0" xfId="0">
      <alignment vertical="top" shrinkToFit="1"/>
    </xf>
    <xf numFmtId="169" fontId="30" fillId="0" borderId="0" applyAlignment="1" pivotButton="0" quotePrefix="0" xfId="2">
      <alignment horizontal="left" vertical="top" wrapText="1" readingOrder="1"/>
    </xf>
    <xf numFmtId="170" fontId="30" fillId="0" borderId="0" applyAlignment="1" pivotButton="0" quotePrefix="0" xfId="2">
      <alignment horizontal="right" vertical="top" wrapText="1" readingOrder="1"/>
    </xf>
    <xf numFmtId="169" fontId="30" fillId="0" borderId="0" applyAlignment="1" pivotButton="0" quotePrefix="0" xfId="2">
      <alignment horizontal="right" vertical="top" wrapText="1" readingOrder="1"/>
    </xf>
    <xf numFmtId="170" fontId="28" fillId="0" borderId="8" applyAlignment="1" pivotButton="0" quotePrefix="0" xfId="2">
      <alignment vertical="top" wrapText="1" readingOrder="1"/>
    </xf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1" fillId="4" borderId="1" applyAlignment="1" pivotButton="0" quotePrefix="0" xfId="0">
      <alignment horizontal="left"/>
    </xf>
    <xf numFmtId="0" fontId="0" fillId="0" borderId="3" pivotButton="0" quotePrefix="0" xfId="0"/>
    <xf numFmtId="0" fontId="0" fillId="0" borderId="10" pivotButton="0" quotePrefix="0" xfId="0"/>
    <xf numFmtId="167" fontId="0" fillId="0" borderId="1" applyAlignment="1" pivotButton="0" quotePrefix="0" xfId="0">
      <alignment horizontal="left"/>
    </xf>
    <xf numFmtId="167" fontId="0" fillId="3" borderId="1" applyAlignment="1" pivotButton="0" quotePrefix="0" xfId="0">
      <alignment horizontal="left"/>
    </xf>
    <xf numFmtId="0" fontId="0" fillId="0" borderId="20" pivotButton="0" quotePrefix="0" xfId="0"/>
    <xf numFmtId="0" fontId="0" fillId="0" borderId="17" pivotButton="0" quotePrefix="0" xfId="0"/>
    <xf numFmtId="166" fontId="4" fillId="3" borderId="1" applyAlignment="1" pivotButton="0" quotePrefix="0" xfId="0">
      <alignment wrapText="1"/>
    </xf>
    <xf numFmtId="166" fontId="4" fillId="3" borderId="1" applyAlignment="1" pivotButton="0" quotePrefix="0" xfId="0">
      <alignment horizontal="left"/>
    </xf>
    <xf numFmtId="166" fontId="4" fillId="3" borderId="1" applyAlignment="1" pivotButton="0" quotePrefix="0" xfId="0">
      <alignment horizontal="left" wrapText="1"/>
    </xf>
    <xf numFmtId="166" fontId="4" fillId="0" borderId="1" applyAlignment="1" pivotButton="0" quotePrefix="0" xfId="0">
      <alignment horizontal="left" wrapText="1"/>
    </xf>
    <xf numFmtId="166" fontId="4" fillId="0" borderId="1" applyAlignment="1" pivotButton="0" quotePrefix="0" xfId="0">
      <alignment horizontal="left"/>
    </xf>
    <xf numFmtId="0" fontId="0" fillId="0" borderId="11" pivotButton="0" quotePrefix="0" xfId="0"/>
  </cellXfs>
  <cellStyles count="3">
    <cellStyle name="Normal" xfId="0" builtinId="0"/>
    <cellStyle name="Normal 4 5" xfId="1"/>
    <cellStyle name="Normal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"/>
  <sheetViews>
    <sheetView tabSelected="1" workbookViewId="0">
      <selection activeCell="A1" sqref="A1"/>
    </sheetView>
  </sheetViews>
  <sheetFormatPr baseColWidth="8" defaultRowHeight="14.4"/>
  <cols>
    <col width="1.21875" customWidth="1" style="192" min="1" max="1"/>
    <col width="22.44140625" bestFit="1" customWidth="1" style="192" min="3" max="3"/>
  </cols>
  <sheetData>
    <row r="2">
      <c r="B2" t="inlineStr">
        <is>
          <t>Manager</t>
        </is>
      </c>
      <c r="C2" t="inlineStr">
        <is>
          <t>Greatland Realty Partner</t>
        </is>
      </c>
    </row>
    <row r="3">
      <c r="B3" t="inlineStr">
        <is>
          <t>Entities</t>
        </is>
      </c>
      <c r="C3" t="inlineStr">
        <is>
          <t>Revlabs, Revlabspm</t>
        </is>
      </c>
    </row>
    <row r="4">
      <c r="B4" t="inlineStr">
        <is>
          <t>Date</t>
        </is>
      </c>
      <c r="C4" s="155" t="n">
        <v>46053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S97"/>
  <sheetViews>
    <sheetView topLeftCell="A5" workbookViewId="0">
      <selection activeCell="A1" sqref="A1"/>
    </sheetView>
  </sheetViews>
  <sheetFormatPr baseColWidth="8" defaultRowHeight="14.4"/>
  <cols>
    <col width="8.88671875" customWidth="1" style="192" min="1" max="35"/>
  </cols>
  <sheetData>
    <row r="1" ht="14.4" customHeight="1" s="192">
      <c r="A1" s="236" t="n"/>
      <c r="B1" s="236" t="n"/>
      <c r="C1" s="191" t="n"/>
      <c r="D1" s="235" t="n"/>
      <c r="E1" s="235" t="n"/>
      <c r="F1" s="235" t="n"/>
      <c r="G1" s="235" t="n"/>
      <c r="H1" s="235" t="n"/>
      <c r="I1" s="235" t="n"/>
      <c r="J1" s="235" t="n"/>
      <c r="K1" s="235" t="n"/>
      <c r="L1" s="235" t="n"/>
      <c r="M1" s="235" t="n"/>
      <c r="N1" s="235" t="n"/>
      <c r="O1" s="235" t="n"/>
      <c r="P1" s="235" t="n"/>
      <c r="Q1" s="235" t="n"/>
      <c r="R1" s="235" t="n"/>
      <c r="S1" s="235" t="n"/>
    </row>
    <row r="2" ht="30" customHeight="1" s="192">
      <c r="A2" s="191" t="n"/>
      <c r="B2" s="191" t="n"/>
      <c r="C2" s="191" t="n"/>
      <c r="D2" s="235" t="n"/>
      <c r="E2" s="200" t="inlineStr">
        <is>
          <t>Rev Labs Owner LLC PNC</t>
        </is>
      </c>
      <c r="N2" s="235" t="n"/>
      <c r="O2" s="235" t="n"/>
      <c r="P2" s="235" t="n"/>
      <c r="Q2" s="237" t="n">
        <v>46155.41417141203</v>
      </c>
    </row>
    <row r="3" ht="14.4" customHeight="1" s="192">
      <c r="D3" s="235" t="n"/>
      <c r="N3" s="235" t="n"/>
      <c r="O3" s="235" t="n"/>
      <c r="P3" s="235" t="n"/>
      <c r="Q3" s="235" t="n"/>
      <c r="R3" s="235" t="n"/>
      <c r="S3" s="235" t="n"/>
    </row>
    <row r="4" ht="14.4" customHeight="1" s="192">
      <c r="D4" s="235" t="n"/>
      <c r="E4" s="235" t="n"/>
      <c r="F4" s="235" t="n"/>
      <c r="G4" s="235" t="n"/>
      <c r="H4" s="235" t="n"/>
      <c r="I4" s="235" t="n"/>
      <c r="J4" s="235" t="n"/>
      <c r="K4" s="235" t="n"/>
      <c r="L4" s="235" t="n"/>
      <c r="M4" s="235" t="n"/>
      <c r="N4" s="235" t="n"/>
      <c r="O4" s="235" t="n"/>
      <c r="P4" s="235" t="n"/>
      <c r="Q4" s="235" t="n"/>
      <c r="R4" s="235" t="n"/>
      <c r="S4" s="235" t="n"/>
    </row>
    <row r="5" ht="18" customHeight="1" s="192">
      <c r="D5" s="200" t="inlineStr">
        <is>
          <t>Bank Reconciliation Report</t>
        </is>
      </c>
      <c r="N5" s="235" t="n"/>
      <c r="O5" s="235" t="n"/>
      <c r="P5" s="235" t="n"/>
      <c r="Q5" s="235" t="n"/>
      <c r="R5" s="235" t="n"/>
      <c r="S5" s="235" t="n"/>
    </row>
    <row r="6" ht="14.4" customHeight="1" s="192">
      <c r="D6" s="235" t="n"/>
      <c r="E6" s="235" t="n"/>
      <c r="F6" s="235" t="n"/>
      <c r="G6" s="235" t="n"/>
      <c r="H6" s="235" t="n"/>
      <c r="I6" s="235" t="n"/>
      <c r="J6" s="235" t="n"/>
      <c r="K6" s="235" t="n"/>
      <c r="L6" s="235" t="n"/>
      <c r="M6" s="235" t="n"/>
      <c r="N6" s="235" t="n"/>
      <c r="O6" s="235" t="n"/>
      <c r="P6" s="235" t="n"/>
      <c r="Q6" s="235" t="n"/>
      <c r="R6" s="235" t="n"/>
      <c r="S6" s="235" t="n"/>
    </row>
    <row r="7" ht="14.4" customHeight="1" s="192">
      <c r="D7" s="235" t="n"/>
      <c r="E7" s="238" t="n">
        <v>46047</v>
      </c>
      <c r="N7" s="235" t="n"/>
      <c r="O7" s="235" t="n"/>
      <c r="P7" s="235" t="n"/>
      <c r="Q7" s="235" t="n"/>
      <c r="R7" s="235" t="n"/>
      <c r="S7" s="235" t="n"/>
    </row>
    <row r="8" ht="14.4" customHeight="1" s="192">
      <c r="D8" s="235" t="n"/>
      <c r="E8" s="235" t="n"/>
      <c r="F8" s="235" t="n"/>
      <c r="G8" s="235" t="n"/>
      <c r="H8" s="235" t="n"/>
      <c r="I8" s="235" t="n"/>
      <c r="J8" s="235" t="n"/>
      <c r="K8" s="235" t="n"/>
      <c r="L8" s="235" t="n"/>
      <c r="M8" s="235" t="n"/>
      <c r="N8" s="235" t="n"/>
      <c r="O8" s="235" t="n"/>
      <c r="P8" s="235" t="n"/>
      <c r="Q8" s="235" t="n"/>
      <c r="R8" s="235" t="n"/>
      <c r="S8" s="235" t="n"/>
    </row>
    <row r="9" ht="14.4" customHeight="1" s="192">
      <c r="D9" s="235" t="n"/>
      <c r="E9" s="204" t="inlineStr">
        <is>
          <t>1092223993</t>
        </is>
      </c>
      <c r="N9" s="235" t="n"/>
      <c r="O9" s="235" t="n"/>
      <c r="P9" s="235" t="n"/>
      <c r="Q9" s="235" t="n"/>
      <c r="R9" s="235" t="n"/>
      <c r="S9" s="235" t="n"/>
    </row>
    <row r="10" ht="14.4" customHeight="1" s="192">
      <c r="D10" s="235" t="n"/>
      <c r="E10" s="235" t="n"/>
      <c r="F10" s="235" t="n"/>
      <c r="G10" s="235" t="n"/>
      <c r="H10" s="235" t="n"/>
      <c r="I10" s="235" t="n"/>
      <c r="J10" s="235" t="n"/>
      <c r="K10" s="235" t="n"/>
      <c r="L10" s="235" t="n"/>
      <c r="M10" s="235" t="n"/>
      <c r="N10" s="235" t="n"/>
      <c r="O10" s="235" t="n"/>
      <c r="P10" s="235" t="n"/>
      <c r="Q10" s="235" t="n"/>
      <c r="R10" s="235" t="n"/>
      <c r="S10" s="235" t="n"/>
    </row>
    <row r="11" ht="14.4" customHeight="1" s="192">
      <c r="D11" s="235" t="n"/>
      <c r="E11" s="204" t="inlineStr">
        <is>
          <t>Posted by: jlrr0627 on 2/1/2026</t>
        </is>
      </c>
      <c r="N11" s="235" t="n"/>
      <c r="O11" s="235" t="n"/>
      <c r="P11" s="235" t="n"/>
      <c r="Q11" s="235" t="n"/>
      <c r="R11" s="235" t="n"/>
      <c r="S11" s="235" t="n"/>
    </row>
    <row r="12" ht="14.4" customHeight="1" s="192">
      <c r="D12" s="235" t="n"/>
      <c r="E12" s="235" t="n"/>
      <c r="F12" s="235" t="n"/>
      <c r="G12" s="235" t="n"/>
      <c r="H12" s="235" t="n"/>
      <c r="I12" s="235" t="n"/>
      <c r="J12" s="235" t="n"/>
      <c r="K12" s="235" t="n"/>
      <c r="L12" s="235" t="n"/>
      <c r="M12" s="235" t="n"/>
      <c r="N12" s="235" t="n"/>
      <c r="O12" s="235" t="n"/>
      <c r="P12" s="235" t="n"/>
      <c r="Q12" s="235" t="n"/>
      <c r="R12" s="235" t="n"/>
      <c r="S12" s="235" t="n"/>
    </row>
    <row r="13" ht="14.4" customHeight="1" s="192">
      <c r="D13" s="235" t="n"/>
      <c r="E13" s="235" t="n"/>
      <c r="F13" s="235" t="n"/>
      <c r="G13" s="235" t="n"/>
      <c r="H13" s="235" t="n"/>
      <c r="I13" s="235" t="n"/>
      <c r="J13" s="235" t="n"/>
      <c r="K13" s="235" t="n"/>
      <c r="L13" s="235" t="n"/>
      <c r="M13" s="235" t="n"/>
      <c r="N13" s="235" t="n"/>
      <c r="O13" s="235" t="n"/>
      <c r="P13" s="235" t="n"/>
      <c r="Q13" s="235" t="n"/>
      <c r="R13" s="235" t="n"/>
      <c r="S13" s="235" t="n"/>
    </row>
    <row r="14" ht="14.4" customHeight="1" s="192">
      <c r="C14" s="209" t="inlineStr">
        <is>
          <t>Balance Per Bank Statement as of 1/25/2026</t>
        </is>
      </c>
      <c r="L14" s="239" t="n">
        <v>1422016.65</v>
      </c>
      <c r="P14" s="235" t="n"/>
      <c r="Q14" s="235" t="n"/>
      <c r="R14" s="235" t="n"/>
      <c r="S14" s="235" t="n"/>
    </row>
    <row r="15" ht="14.4" customHeight="1" s="192">
      <c r="C15" s="211" t="inlineStr">
        <is>
          <t>Outstanding Checks</t>
        </is>
      </c>
      <c r="P15" s="235" t="n"/>
      <c r="Q15" s="235" t="n"/>
      <c r="R15" s="235" t="n"/>
      <c r="S15" s="235" t="n"/>
    </row>
    <row r="16" ht="14.4" customHeight="1" s="192">
      <c r="C16" s="212" t="inlineStr">
        <is>
          <t>Check Date</t>
        </is>
      </c>
      <c r="D16" s="240" t="n"/>
      <c r="E16" s="240" t="n"/>
      <c r="F16" s="240" t="n"/>
      <c r="G16" s="214" t="inlineStr">
        <is>
          <t>Check Number</t>
        </is>
      </c>
      <c r="H16" s="240" t="n"/>
      <c r="I16" s="212" t="inlineStr">
        <is>
          <t>Payee</t>
        </is>
      </c>
      <c r="J16" s="240" t="n"/>
      <c r="K16" s="240" t="n"/>
      <c r="L16" s="215" t="inlineStr">
        <is>
          <t>Amount</t>
        </is>
      </c>
      <c r="M16" s="240" t="n"/>
      <c r="N16" s="240" t="n"/>
      <c r="O16" s="240" t="n"/>
      <c r="P16" s="235" t="n"/>
      <c r="Q16" s="235" t="n"/>
      <c r="R16" s="235" t="n"/>
      <c r="S16" s="235" t="n"/>
    </row>
    <row r="17" ht="14.4" customHeight="1" s="192">
      <c r="C17" s="241" t="n">
        <v>46028</v>
      </c>
      <c r="G17" s="206" t="inlineStr">
        <is>
          <t xml:space="preserve">        2708</t>
        </is>
      </c>
      <c r="I17" s="207" t="inlineStr">
        <is>
          <t>v0000663 - MacCormack Plumbing Inc.</t>
        </is>
      </c>
      <c r="L17" s="242" t="n">
        <v>1575</v>
      </c>
    </row>
    <row r="18" ht="14.4" customHeight="1" s="192">
      <c r="C18" s="241" t="n">
        <v>46028</v>
      </c>
      <c r="G18" s="206" t="inlineStr">
        <is>
          <t xml:space="preserve">        2712</t>
        </is>
      </c>
      <c r="I18" s="207" t="inlineStr">
        <is>
          <t>v0000716 - Weston Ground Lessee LLC</t>
        </is>
      </c>
      <c r="L18" s="242" t="n">
        <v>7151.23</v>
      </c>
    </row>
    <row r="19" ht="14.4" customHeight="1" s="192">
      <c r="C19" s="241" t="n">
        <v>46036</v>
      </c>
      <c r="G19" s="206" t="inlineStr">
        <is>
          <t xml:space="preserve">        2713</t>
        </is>
      </c>
      <c r="I19" s="207" t="inlineStr">
        <is>
          <t>v0000029 - Comcast</t>
        </is>
      </c>
      <c r="L19" s="242" t="n">
        <v>837.47</v>
      </c>
    </row>
    <row r="20" ht="14.4" customHeight="1" s="192">
      <c r="C20" s="241" t="n">
        <v>46036</v>
      </c>
      <c r="G20" s="206" t="inlineStr">
        <is>
          <t xml:space="preserve">        2715</t>
        </is>
      </c>
      <c r="I20" s="207" t="inlineStr">
        <is>
          <t>v0000114 - SX BUSINESS SERVICES INC</t>
        </is>
      </c>
      <c r="L20" s="242" t="n">
        <v>439.36</v>
      </c>
    </row>
    <row r="21" ht="14.4" customHeight="1" s="192">
      <c r="A21" s="193" t="n"/>
      <c r="B21" s="193" t="n"/>
      <c r="C21" s="241" t="n">
        <v>46036</v>
      </c>
      <c r="G21" s="206" t="inlineStr">
        <is>
          <t xml:space="preserve">        2719</t>
        </is>
      </c>
      <c r="I21" s="207" t="inlineStr">
        <is>
          <t>v0000324 - NATIONAL GRID</t>
        </is>
      </c>
      <c r="L21" s="242" t="n">
        <v>732.26</v>
      </c>
    </row>
    <row r="22" ht="14.4" customHeight="1" s="192">
      <c r="A22" s="194" t="n"/>
      <c r="B22" s="194" t="n"/>
      <c r="C22" s="241" t="n">
        <v>46036</v>
      </c>
      <c r="G22" s="206" t="inlineStr">
        <is>
          <t xml:space="preserve">        2721</t>
        </is>
      </c>
      <c r="I22" s="207" t="inlineStr">
        <is>
          <t>v0000630 - Prudential Overall Supply</t>
        </is>
      </c>
      <c r="L22" s="242" t="n">
        <v>102.28</v>
      </c>
    </row>
    <row r="23" ht="14.4" customHeight="1" s="192">
      <c r="A23" s="195" t="n"/>
      <c r="B23" s="195" t="n"/>
      <c r="C23" s="241" t="n">
        <v>46042</v>
      </c>
      <c r="G23" s="206" t="inlineStr">
        <is>
          <t xml:space="preserve">        2722</t>
        </is>
      </c>
      <c r="I23" s="207" t="inlineStr">
        <is>
          <t>v0000206 - DURKIN CO. INC.</t>
        </is>
      </c>
      <c r="L23" s="242" t="n">
        <v>215.42</v>
      </c>
    </row>
    <row r="24" ht="14.4" customHeight="1" s="192">
      <c r="A24" s="195" t="n"/>
      <c r="B24" s="195" t="n"/>
      <c r="C24" s="241" t="n">
        <v>46042</v>
      </c>
      <c r="G24" s="206" t="inlineStr">
        <is>
          <t xml:space="preserve">        2723</t>
        </is>
      </c>
      <c r="I24" s="207" t="inlineStr">
        <is>
          <t>v0000298 - CADWELL DESIGN &amp; SIGN</t>
        </is>
      </c>
      <c r="L24" s="242" t="n">
        <v>1021.66</v>
      </c>
    </row>
    <row r="25" ht="14.4" customHeight="1" s="192">
      <c r="A25" s="191" t="n"/>
      <c r="B25" s="191" t="n"/>
      <c r="C25" s="241" t="n">
        <v>46042</v>
      </c>
      <c r="G25" s="206" t="inlineStr">
        <is>
          <t xml:space="preserve">        2724</t>
        </is>
      </c>
      <c r="I25" s="207" t="inlineStr">
        <is>
          <t>v0000301 - CINTAS</t>
        </is>
      </c>
      <c r="L25" s="242" t="n">
        <v>77.02</v>
      </c>
    </row>
    <row r="26" ht="14.4" customHeight="1" s="192">
      <c r="A26" s="193" t="n"/>
      <c r="B26" s="193" t="n"/>
      <c r="C26" s="241" t="n">
        <v>46042</v>
      </c>
      <c r="G26" s="206" t="inlineStr">
        <is>
          <t xml:space="preserve">        2725</t>
        </is>
      </c>
      <c r="I26" s="207" t="inlineStr">
        <is>
          <t>v0000445 - Northeastern Mechanical Inc</t>
        </is>
      </c>
      <c r="L26" s="242" t="n">
        <v>2903.75</v>
      </c>
    </row>
    <row r="27" ht="14.4" customHeight="1" s="192">
      <c r="A27" s="191" t="n"/>
      <c r="B27" s="191" t="n"/>
      <c r="C27" s="241" t="n">
        <v>46042</v>
      </c>
      <c r="G27" s="206" t="inlineStr">
        <is>
          <t xml:space="preserve">        2726</t>
        </is>
      </c>
      <c r="I27" s="207" t="inlineStr">
        <is>
          <t>v0000447 - Nalco Company LLC</t>
        </is>
      </c>
      <c r="L27" s="242" t="n">
        <v>1193.82</v>
      </c>
    </row>
    <row r="28" ht="14.4" customHeight="1" s="192">
      <c r="A28" s="193" t="n"/>
      <c r="B28" s="193" t="n"/>
      <c r="C28" s="241" t="n">
        <v>46042</v>
      </c>
      <c r="G28" s="206" t="inlineStr">
        <is>
          <t xml:space="preserve">        2727</t>
        </is>
      </c>
      <c r="I28" s="207" t="inlineStr">
        <is>
          <t>v0000456 - J &amp; M Brown Company</t>
        </is>
      </c>
      <c r="L28" s="242" t="n">
        <v>2714</v>
      </c>
    </row>
    <row r="29" ht="14.4" customHeight="1" s="192">
      <c r="C29" s="241" t="n">
        <v>46042</v>
      </c>
      <c r="G29" s="206" t="inlineStr">
        <is>
          <t xml:space="preserve">        2728</t>
        </is>
      </c>
      <c r="I29" s="207" t="inlineStr">
        <is>
          <t>v0000457 - Power Products Systems LLC</t>
        </is>
      </c>
      <c r="L29" s="242" t="n">
        <v>1350</v>
      </c>
    </row>
    <row r="30" ht="14.4" customHeight="1" s="192">
      <c r="C30" s="241" t="n">
        <v>46042</v>
      </c>
      <c r="G30" s="206" t="inlineStr">
        <is>
          <t xml:space="preserve">        2729</t>
        </is>
      </c>
      <c r="I30" s="207" t="inlineStr">
        <is>
          <t>v0000546 - TransAction Associates Inc</t>
        </is>
      </c>
      <c r="L30" s="242" t="n">
        <v>1114.6</v>
      </c>
    </row>
    <row r="31" ht="14.4" customHeight="1" s="192">
      <c r="C31" s="241" t="n">
        <v>46042</v>
      </c>
      <c r="G31" s="206" t="inlineStr">
        <is>
          <t xml:space="preserve">        2731</t>
        </is>
      </c>
      <c r="I31" s="207" t="inlineStr">
        <is>
          <t>v0000630 - Prudential Overall Supply</t>
        </is>
      </c>
      <c r="L31" s="242" t="n">
        <v>102.28</v>
      </c>
    </row>
    <row r="32" ht="14.4" customHeight="1" s="192">
      <c r="C32" s="241" t="n">
        <v>46042</v>
      </c>
      <c r="G32" s="206" t="inlineStr">
        <is>
          <t xml:space="preserve">        2732</t>
        </is>
      </c>
      <c r="I32" s="207" t="inlineStr">
        <is>
          <t>v0000708 - Hudson Energy Services LLC</t>
        </is>
      </c>
      <c r="L32" s="242" t="n">
        <v>45918.47</v>
      </c>
    </row>
    <row r="33" ht="14.4" customHeight="1" s="192">
      <c r="C33" s="241" t="n">
        <v>46042</v>
      </c>
      <c r="G33" s="206" t="inlineStr">
        <is>
          <t xml:space="preserve">        2733</t>
        </is>
      </c>
      <c r="I33" s="207" t="inlineStr">
        <is>
          <t>v0000718 - Servus LLC</t>
        </is>
      </c>
      <c r="L33" s="242" t="n">
        <v>7578.99</v>
      </c>
      <c r="P33" s="235" t="n"/>
      <c r="Q33" s="235" t="n"/>
    </row>
    <row r="34" ht="14.4" customHeight="1" s="192">
      <c r="C34" s="209" t="inlineStr">
        <is>
          <t>Less:</t>
        </is>
      </c>
      <c r="G34" s="209" t="inlineStr">
        <is>
          <t>Outstanding Checks</t>
        </is>
      </c>
      <c r="L34" s="239" t="n">
        <v>75027.61</v>
      </c>
      <c r="P34" s="235" t="n"/>
      <c r="Q34" s="235" t="n"/>
    </row>
    <row r="35" ht="14.4" customHeight="1" s="192">
      <c r="C35" s="209" t="inlineStr"/>
      <c r="G35" s="211" t="inlineStr">
        <is>
          <t>Reconciled Bank Balance</t>
        </is>
      </c>
      <c r="L35" s="243" t="n">
        <v>1346989.04</v>
      </c>
      <c r="M35" s="240" t="n"/>
      <c r="N35" s="240" t="n"/>
      <c r="O35" s="240" t="n"/>
      <c r="P35" s="235" t="n"/>
      <c r="Q35" s="235" t="n"/>
    </row>
    <row r="36" ht="14.4" customHeight="1" s="192">
      <c r="C36" s="235" t="n"/>
      <c r="D36" s="235" t="n"/>
      <c r="E36" s="235" t="n"/>
      <c r="F36" s="235" t="n"/>
      <c r="G36" s="235" t="n"/>
      <c r="H36" s="235" t="n"/>
      <c r="I36" s="235" t="n"/>
      <c r="J36" s="235" t="n"/>
      <c r="K36" s="235" t="n"/>
      <c r="L36" s="235" t="n"/>
      <c r="M36" s="235" t="n"/>
      <c r="N36" s="235" t="n"/>
      <c r="O36" s="235" t="n"/>
      <c r="P36" s="235" t="n"/>
      <c r="Q36" s="235" t="n"/>
    </row>
    <row r="37" ht="14.4" customHeight="1" s="192">
      <c r="C37" s="209" t="inlineStr">
        <is>
          <t>Balance per GL as of 1/25/2026</t>
        </is>
      </c>
      <c r="L37" s="239" t="n">
        <v>1346989.04</v>
      </c>
      <c r="P37" s="235" t="n"/>
      <c r="Q37" s="235" t="n"/>
    </row>
    <row r="38" ht="14.4" customHeight="1" s="192">
      <c r="C38" s="209" t="inlineStr"/>
      <c r="G38" s="211" t="inlineStr">
        <is>
          <t>Reconciled Balance Per G/L</t>
        </is>
      </c>
      <c r="L38" s="243" t="n">
        <v>1346989.04</v>
      </c>
      <c r="M38" s="240" t="n"/>
      <c r="N38" s="240" t="n"/>
      <c r="O38" s="240" t="n"/>
      <c r="P38" s="235" t="n"/>
      <c r="Q38" s="235" t="n"/>
    </row>
    <row r="39" ht="14.4" customHeight="1" s="192">
      <c r="C39" s="209" t="inlineStr"/>
      <c r="G39" s="234" t="inlineStr"/>
      <c r="I39" s="234" t="inlineStr"/>
      <c r="L39" s="209" t="inlineStr"/>
      <c r="P39" s="235" t="n"/>
      <c r="Q39" s="235" t="n"/>
    </row>
    <row r="40" ht="14.4" customHeight="1" s="192" thickBot="1">
      <c r="C40" s="209" t="inlineStr">
        <is>
          <t>Difference</t>
        </is>
      </c>
      <c r="G40" s="234" t="inlineStr">
        <is>
          <t>(Reconciled Bank Balance And Reconciled Balance Per G/L)</t>
        </is>
      </c>
      <c r="L40" s="244" t="n">
        <v>0</v>
      </c>
      <c r="M40" s="245" t="n"/>
      <c r="N40" s="245" t="n"/>
      <c r="O40" s="245" t="n"/>
      <c r="P40" s="235" t="n"/>
      <c r="Q40" s="235" t="n"/>
    </row>
    <row r="41" ht="14.4" customHeight="1" s="192" thickTop="1">
      <c r="C41" s="235" t="n"/>
      <c r="D41" s="235" t="n"/>
      <c r="E41" s="235" t="n"/>
      <c r="F41" s="235" t="n"/>
      <c r="G41" s="235" t="n"/>
      <c r="H41" s="235" t="n"/>
      <c r="I41" s="235" t="n"/>
      <c r="J41" s="235" t="n"/>
      <c r="K41" s="235" t="n"/>
      <c r="L41" s="235" t="n"/>
      <c r="M41" s="235" t="n"/>
      <c r="N41" s="235" t="n"/>
      <c r="O41" s="235" t="n"/>
      <c r="P41" s="235" t="n"/>
      <c r="Q41" s="235" t="n"/>
    </row>
    <row r="42" ht="14.4" customHeight="1" s="192">
      <c r="A42" s="246" t="n"/>
      <c r="B42" s="246" t="n"/>
      <c r="C42" s="235" t="n"/>
      <c r="D42" s="235" t="n"/>
      <c r="E42" s="235" t="n"/>
      <c r="F42" s="235" t="n"/>
      <c r="G42" s="235" t="n"/>
      <c r="H42" s="235" t="n"/>
      <c r="I42" s="235" t="n"/>
      <c r="J42" s="235" t="n"/>
      <c r="K42" s="235" t="n"/>
      <c r="L42" s="235" t="n"/>
      <c r="M42" s="235" t="n"/>
      <c r="N42" s="235" t="n"/>
      <c r="O42" s="235" t="n"/>
      <c r="P42" s="235" t="n"/>
      <c r="Q42" s="235" t="n"/>
    </row>
    <row r="43">
      <c r="A43" s="193" t="n"/>
      <c r="B43" s="193" t="n"/>
      <c r="C43" s="235" t="n"/>
      <c r="D43" s="235" t="n"/>
      <c r="E43" s="235" t="n"/>
      <c r="F43" s="235" t="n"/>
      <c r="G43" s="235" t="n"/>
      <c r="H43" s="235" t="n"/>
      <c r="I43" s="235" t="n"/>
      <c r="J43" s="235" t="n"/>
      <c r="K43" s="235" t="n"/>
      <c r="L43" s="235" t="n"/>
      <c r="M43" s="235" t="n"/>
      <c r="N43" s="235" t="n"/>
      <c r="O43" s="235" t="n"/>
      <c r="P43" s="235" t="n"/>
      <c r="Q43" s="235" t="n"/>
    </row>
    <row r="44" ht="14.4" customHeight="1" s="192">
      <c r="A44" s="191" t="n"/>
      <c r="B44" s="209" t="inlineStr">
        <is>
          <t>Cleared Items:</t>
        </is>
      </c>
      <c r="J44" s="235" t="n"/>
      <c r="K44" s="235" t="n"/>
      <c r="L44" s="235" t="n"/>
      <c r="M44" s="235" t="n"/>
      <c r="N44" s="235" t="n"/>
      <c r="O44" s="235" t="n"/>
      <c r="P44" s="235" t="n"/>
      <c r="Q44" s="235" t="n"/>
    </row>
    <row r="45" ht="14.4" customHeight="1" s="192">
      <c r="A45" s="197" t="n"/>
      <c r="B45" s="197" t="n"/>
      <c r="C45" s="235" t="n"/>
      <c r="D45" s="235" t="n"/>
      <c r="E45" s="235" t="n"/>
      <c r="F45" s="235" t="n"/>
      <c r="G45" s="235" t="n"/>
      <c r="H45" s="235" t="n"/>
      <c r="I45" s="235" t="n"/>
      <c r="J45" s="235" t="n"/>
      <c r="K45" s="235" t="n"/>
      <c r="L45" s="235" t="n"/>
      <c r="M45" s="235" t="n"/>
      <c r="N45" s="235" t="n"/>
      <c r="O45" s="235" t="n"/>
      <c r="P45" s="235" t="n"/>
      <c r="Q45" s="235" t="n"/>
    </row>
    <row r="46" ht="14.4" customHeight="1" s="192">
      <c r="A46" s="247" t="n"/>
      <c r="B46" s="220" t="inlineStr"/>
      <c r="F46" s="220" t="inlineStr"/>
      <c r="H46" s="220" t="inlineStr"/>
      <c r="K46" s="220" t="inlineStr"/>
      <c r="M46" s="220" t="inlineStr"/>
    </row>
    <row r="47" ht="14.4" customHeight="1" s="192">
      <c r="A47" s="247" t="n"/>
      <c r="B47" s="209" t="inlineStr">
        <is>
          <t>Cleared Checks</t>
        </is>
      </c>
      <c r="K47" s="209" t="inlineStr"/>
      <c r="M47" s="209" t="inlineStr"/>
    </row>
    <row r="48" ht="14.4" customHeight="1" s="192">
      <c r="A48" s="247" t="n"/>
      <c r="B48" s="222" t="inlineStr"/>
      <c r="F48" s="220" t="inlineStr"/>
      <c r="H48" s="222" t="inlineStr"/>
      <c r="K48" s="222" t="inlineStr"/>
      <c r="M48" s="222" t="inlineStr"/>
    </row>
    <row r="49" ht="14.4" customHeight="1" s="192">
      <c r="A49" s="247" t="n"/>
      <c r="B49" s="221" t="inlineStr">
        <is>
          <t>Date</t>
        </is>
      </c>
      <c r="C49" s="240" t="n"/>
      <c r="D49" s="240" t="n"/>
      <c r="E49" s="240" t="n"/>
      <c r="F49" s="221" t="inlineStr">
        <is>
          <t>Tran #</t>
        </is>
      </c>
      <c r="G49" s="240" t="n"/>
      <c r="H49" s="221" t="inlineStr">
        <is>
          <t>Notes</t>
        </is>
      </c>
      <c r="I49" s="240" t="n"/>
      <c r="J49" s="240" t="n"/>
      <c r="K49" s="221" t="inlineStr">
        <is>
          <t>Amount</t>
        </is>
      </c>
      <c r="L49" s="240" t="n"/>
      <c r="M49" s="221" t="inlineStr">
        <is>
          <t>Date Cleared</t>
        </is>
      </c>
      <c r="N49" s="240" t="n"/>
      <c r="O49" s="240" t="n"/>
      <c r="P49" s="240" t="n"/>
      <c r="Q49" s="240" t="n"/>
    </row>
    <row r="50" ht="14.4" customHeight="1" s="192">
      <c r="A50" s="247" t="n"/>
      <c r="B50" s="248" t="n">
        <v>46001</v>
      </c>
      <c r="F50" s="224" t="inlineStr">
        <is>
          <t xml:space="preserve">        2655</t>
        </is>
      </c>
      <c r="H50" s="225" t="inlineStr">
        <is>
          <t>v0000166 - Janitronics Inc</t>
        </is>
      </c>
      <c r="K50" s="249" t="n">
        <v>7387.14</v>
      </c>
      <c r="M50" s="250" t="n">
        <v>46047</v>
      </c>
    </row>
    <row r="51" ht="14.4" customHeight="1" s="192">
      <c r="A51" s="247" t="n"/>
      <c r="B51" s="248" t="n">
        <v>46001</v>
      </c>
      <c r="F51" s="224" t="inlineStr">
        <is>
          <t xml:space="preserve">        2669</t>
        </is>
      </c>
      <c r="H51" s="225" t="inlineStr">
        <is>
          <t>v0000546 - TransAction Associates Inc</t>
        </is>
      </c>
      <c r="K51" s="249" t="n">
        <v>1318.96</v>
      </c>
      <c r="M51" s="250" t="n">
        <v>46047</v>
      </c>
    </row>
    <row r="52" ht="14.4" customHeight="1" s="192">
      <c r="A52" s="247" t="n"/>
      <c r="B52" s="248" t="n">
        <v>46007</v>
      </c>
      <c r="F52" s="224" t="inlineStr">
        <is>
          <t xml:space="preserve">        2675</t>
        </is>
      </c>
      <c r="H52" s="225" t="inlineStr">
        <is>
          <t>v0000061 - Greatland Realty Partners LLC</t>
        </is>
      </c>
      <c r="K52" s="249" t="n">
        <v>4174.6</v>
      </c>
      <c r="M52" s="250" t="n">
        <v>46047</v>
      </c>
    </row>
    <row r="53" ht="14.4" customHeight="1" s="192">
      <c r="A53" s="247" t="n"/>
      <c r="B53" s="248" t="n">
        <v>46007</v>
      </c>
      <c r="F53" s="224" t="inlineStr">
        <is>
          <t xml:space="preserve">        2679</t>
        </is>
      </c>
      <c r="H53" s="225" t="inlineStr">
        <is>
          <t>v0000397 - Prophia Inc</t>
        </is>
      </c>
      <c r="K53" s="249" t="n">
        <v>1500</v>
      </c>
      <c r="M53" s="250" t="n">
        <v>46047</v>
      </c>
    </row>
    <row r="54" ht="14.4" customHeight="1" s="192">
      <c r="A54" s="247" t="n"/>
      <c r="B54" s="248" t="n">
        <v>46007</v>
      </c>
      <c r="F54" s="224" t="inlineStr">
        <is>
          <t xml:space="preserve">        2680</t>
        </is>
      </c>
      <c r="H54" s="225" t="inlineStr">
        <is>
          <t>v0000441 - CINTAS CORPORATION</t>
        </is>
      </c>
      <c r="K54" s="249" t="n">
        <v>77.02</v>
      </c>
      <c r="M54" s="250" t="n">
        <v>46047</v>
      </c>
    </row>
    <row r="55" ht="14.4" customHeight="1" s="192">
      <c r="A55" s="247" t="n"/>
      <c r="B55" s="248" t="n">
        <v>46028</v>
      </c>
      <c r="F55" s="224" t="inlineStr">
        <is>
          <t xml:space="preserve">        2684</t>
        </is>
      </c>
      <c r="H55" s="225" t="inlineStr">
        <is>
          <t>v0000029 - Comcast</t>
        </is>
      </c>
      <c r="K55" s="249" t="n">
        <v>834.8</v>
      </c>
      <c r="M55" s="250" t="n">
        <v>46047</v>
      </c>
    </row>
    <row r="56" ht="14.4" customHeight="1" s="192">
      <c r="A56" s="247" t="n"/>
      <c r="B56" s="248" t="n">
        <v>46028</v>
      </c>
      <c r="F56" s="224" t="inlineStr">
        <is>
          <t xml:space="preserve">        2685</t>
        </is>
      </c>
      <c r="H56" s="225" t="inlineStr">
        <is>
          <t>v0000061 - Greatland Realty Partners LLC</t>
        </is>
      </c>
      <c r="K56" s="249" t="n">
        <v>32012.75</v>
      </c>
      <c r="M56" s="250" t="n">
        <v>46047</v>
      </c>
    </row>
    <row r="57" ht="14.4" customHeight="1" s="192">
      <c r="A57" s="247" t="n"/>
      <c r="B57" s="248" t="n">
        <v>46028</v>
      </c>
      <c r="F57" s="224" t="inlineStr">
        <is>
          <t xml:space="preserve">        2686</t>
        </is>
      </c>
      <c r="H57" s="225" t="inlineStr">
        <is>
          <t>v0000071 - Interconnect Computer Cabling</t>
        </is>
      </c>
      <c r="K57" s="249" t="n">
        <v>1676</v>
      </c>
      <c r="M57" s="250" t="n">
        <v>46047</v>
      </c>
    </row>
    <row r="58" ht="14.4" customHeight="1" s="192">
      <c r="A58" s="247" t="n"/>
      <c r="B58" s="248" t="n">
        <v>46028</v>
      </c>
      <c r="F58" s="224" t="inlineStr">
        <is>
          <t xml:space="preserve">        2687</t>
        </is>
      </c>
      <c r="H58" s="225" t="inlineStr">
        <is>
          <t>v0000073 - Jones Lang LaSalle Americas Inc</t>
        </is>
      </c>
      <c r="K58" s="249" t="n">
        <v>39778.83</v>
      </c>
      <c r="M58" s="250" t="n">
        <v>46047</v>
      </c>
    </row>
    <row r="59" ht="14.4" customHeight="1" s="192">
      <c r="A59" s="247" t="n"/>
      <c r="B59" s="248" t="n">
        <v>46028</v>
      </c>
      <c r="F59" s="224" t="inlineStr">
        <is>
          <t xml:space="preserve">        2688</t>
        </is>
      </c>
      <c r="H59" s="225" t="inlineStr">
        <is>
          <t>v0000145 - Verizon Wireless</t>
        </is>
      </c>
      <c r="K59" s="249" t="n">
        <v>306.41</v>
      </c>
      <c r="M59" s="250" t="n">
        <v>46047</v>
      </c>
    </row>
    <row r="60" ht="14.4" customHeight="1" s="192">
      <c r="A60" s="247" t="n"/>
      <c r="B60" s="248" t="n">
        <v>46028</v>
      </c>
      <c r="F60" s="224" t="inlineStr">
        <is>
          <t xml:space="preserve">        2689</t>
        </is>
      </c>
      <c r="H60" s="225" t="inlineStr">
        <is>
          <t>v0000154 - ArcLight Information Technology LLC</t>
        </is>
      </c>
      <c r="K60" s="249" t="n">
        <v>401.25</v>
      </c>
      <c r="M60" s="250" t="n">
        <v>46047</v>
      </c>
    </row>
    <row r="61" ht="14.4" customHeight="1" s="192">
      <c r="A61" s="247" t="n"/>
      <c r="B61" s="248" t="n">
        <v>46028</v>
      </c>
      <c r="F61" s="224" t="inlineStr">
        <is>
          <t xml:space="preserve">        2690</t>
        </is>
      </c>
      <c r="H61" s="225" t="inlineStr">
        <is>
          <t>v0000221 - HEARTLINE FITNESS PRODUCTS INC</t>
        </is>
      </c>
      <c r="K61" s="249" t="n">
        <v>300</v>
      </c>
      <c r="M61" s="250" t="n">
        <v>46047</v>
      </c>
    </row>
    <row r="62" ht="14.4" customHeight="1" s="192">
      <c r="A62" s="247" t="n"/>
      <c r="B62" s="248" t="n">
        <v>46028</v>
      </c>
      <c r="F62" s="224" t="inlineStr">
        <is>
          <t xml:space="preserve">        2691</t>
        </is>
      </c>
      <c r="H62" s="225" t="inlineStr">
        <is>
          <t>v0000289 - 128 BUSINESS COUNCIL</t>
        </is>
      </c>
      <c r="K62" s="249" t="n">
        <v>27631</v>
      </c>
      <c r="M62" s="250" t="n">
        <v>46047</v>
      </c>
    </row>
    <row r="63" ht="14.4" customHeight="1" s="192">
      <c r="A63" s="247" t="n"/>
      <c r="B63" s="248" t="n">
        <v>46028</v>
      </c>
      <c r="F63" s="224" t="inlineStr">
        <is>
          <t xml:space="preserve">        2692</t>
        </is>
      </c>
      <c r="H63" s="225" t="inlineStr">
        <is>
          <t>v0000301 - CINTAS</t>
        </is>
      </c>
      <c r="K63" s="249" t="n">
        <v>154.04</v>
      </c>
      <c r="M63" s="250" t="n">
        <v>46047</v>
      </c>
    </row>
    <row r="64" ht="14.4" customHeight="1" s="192">
      <c r="A64" s="247" t="n"/>
      <c r="B64" s="248" t="n">
        <v>46028</v>
      </c>
      <c r="F64" s="224" t="inlineStr">
        <is>
          <t xml:space="preserve">        2693</t>
        </is>
      </c>
      <c r="H64" s="225" t="inlineStr">
        <is>
          <t>v0000320 - MD WEAVER CORPORATION</t>
        </is>
      </c>
      <c r="K64" s="249" t="n">
        <v>360</v>
      </c>
      <c r="M64" s="250" t="n">
        <v>46047</v>
      </c>
    </row>
    <row r="65" ht="14.4" customHeight="1" s="192">
      <c r="A65" s="247" t="n"/>
      <c r="B65" s="248" t="n">
        <v>46028</v>
      </c>
      <c r="F65" s="224" t="inlineStr">
        <is>
          <t xml:space="preserve">        2694</t>
        </is>
      </c>
      <c r="H65" s="225" t="inlineStr">
        <is>
          <t>v0000324 - NATIONAL GRID</t>
        </is>
      </c>
      <c r="K65" s="249" t="n">
        <v>23311.01</v>
      </c>
      <c r="M65" s="250" t="n">
        <v>46047</v>
      </c>
    </row>
    <row r="66" ht="14.4" customHeight="1" s="192">
      <c r="A66" s="247" t="n"/>
      <c r="B66" s="248" t="n">
        <v>46028</v>
      </c>
      <c r="F66" s="224" t="inlineStr">
        <is>
          <t xml:space="preserve">        2695</t>
        </is>
      </c>
      <c r="H66" s="225" t="inlineStr">
        <is>
          <t>v0000329 - PPM INDUSTRIAL WATER SERVICES</t>
        </is>
      </c>
      <c r="K66" s="249" t="n">
        <v>1710</v>
      </c>
      <c r="M66" s="250" t="n">
        <v>46047</v>
      </c>
    </row>
    <row r="67" ht="14.4" customHeight="1" s="192">
      <c r="A67" s="247" t="n"/>
      <c r="B67" s="248" t="n">
        <v>46028</v>
      </c>
      <c r="F67" s="224" t="inlineStr">
        <is>
          <t xml:space="preserve">        2696</t>
        </is>
      </c>
      <c r="H67" s="225" t="inlineStr">
        <is>
          <t>v0000336 - THE JONES AGENCY INC</t>
        </is>
      </c>
      <c r="K67" s="249" t="n">
        <v>198.65</v>
      </c>
      <c r="M67" s="250" t="n">
        <v>46047</v>
      </c>
    </row>
    <row r="68" ht="14.4" customHeight="1" s="192">
      <c r="A68" s="247" t="n"/>
      <c r="B68" s="248" t="n">
        <v>46028</v>
      </c>
      <c r="F68" s="224" t="inlineStr">
        <is>
          <t xml:space="preserve">        2697</t>
        </is>
      </c>
      <c r="H68" s="225" t="inlineStr">
        <is>
          <t xml:space="preserve">v0000368 - Apex Computers, Inc. </t>
        </is>
      </c>
      <c r="K68" s="249" t="n">
        <v>3750</v>
      </c>
      <c r="M68" s="250" t="n">
        <v>46047</v>
      </c>
    </row>
    <row r="69" ht="14.4" customHeight="1" s="192">
      <c r="A69" s="247" t="n"/>
      <c r="B69" s="248" t="n">
        <v>46028</v>
      </c>
      <c r="F69" s="224" t="inlineStr">
        <is>
          <t xml:space="preserve">        2698</t>
        </is>
      </c>
      <c r="H69" s="225" t="inlineStr">
        <is>
          <t>v0000385 - Copy-Pro Inc</t>
        </is>
      </c>
      <c r="K69" s="249" t="n">
        <v>212.28</v>
      </c>
      <c r="M69" s="250" t="n">
        <v>46047</v>
      </c>
    </row>
    <row r="70" ht="14.4" customHeight="1" s="192">
      <c r="A70" s="247" t="n"/>
      <c r="B70" s="248" t="n">
        <v>46028</v>
      </c>
      <c r="F70" s="224" t="inlineStr">
        <is>
          <t xml:space="preserve">        2699</t>
        </is>
      </c>
      <c r="H70" s="225" t="inlineStr">
        <is>
          <t>v0000394 - Cityscapes Plant Care Inc</t>
        </is>
      </c>
      <c r="K70" s="249" t="n">
        <v>220.5</v>
      </c>
      <c r="M70" s="250" t="n">
        <v>46047</v>
      </c>
    </row>
    <row r="71" ht="14.4" customHeight="1" s="192">
      <c r="B71" s="248" t="n">
        <v>46028</v>
      </c>
      <c r="F71" s="224" t="inlineStr">
        <is>
          <t xml:space="preserve">        2700</t>
        </is>
      </c>
      <c r="H71" s="225" t="inlineStr">
        <is>
          <t>v0000441 - CINTAS CORPORATION</t>
        </is>
      </c>
      <c r="K71" s="249" t="n">
        <v>372.09</v>
      </c>
      <c r="M71" s="250" t="n">
        <v>46047</v>
      </c>
    </row>
    <row r="72" ht="14.4" customHeight="1" s="192">
      <c r="A72" s="193" t="n"/>
      <c r="B72" s="248" t="n">
        <v>46028</v>
      </c>
      <c r="F72" s="224" t="inlineStr">
        <is>
          <t xml:space="preserve">        2701</t>
        </is>
      </c>
      <c r="H72" s="225" t="inlineStr">
        <is>
          <t>v0000456 - J &amp; M Brown Company</t>
        </is>
      </c>
      <c r="K72" s="249" t="n">
        <v>3709</v>
      </c>
      <c r="M72" s="250" t="n">
        <v>46047</v>
      </c>
    </row>
    <row r="73" ht="14.4" customHeight="1" s="192">
      <c r="A73" s="197" t="n"/>
      <c r="B73" s="248" t="n">
        <v>46028</v>
      </c>
      <c r="F73" s="224" t="inlineStr">
        <is>
          <t xml:space="preserve">        2702</t>
        </is>
      </c>
      <c r="H73" s="225" t="inlineStr">
        <is>
          <t>v0000466 - Dynamic Air Corporation</t>
        </is>
      </c>
      <c r="K73" s="249" t="n">
        <v>1000</v>
      </c>
      <c r="M73" s="250" t="n">
        <v>46047</v>
      </c>
    </row>
    <row r="74" ht="14.4" customHeight="1" s="192">
      <c r="A74" s="247" t="n"/>
      <c r="B74" s="248" t="n">
        <v>46028</v>
      </c>
      <c r="F74" s="224" t="inlineStr">
        <is>
          <t xml:space="preserve">        2703</t>
        </is>
      </c>
      <c r="H74" s="225" t="inlineStr">
        <is>
          <t xml:space="preserve">v0000516 - Outdoor Pride Landscaping &amp; Snow Mgmt </t>
        </is>
      </c>
      <c r="K74" s="249" t="n">
        <v>12526</v>
      </c>
      <c r="M74" s="250" t="n">
        <v>46047</v>
      </c>
    </row>
    <row r="75" ht="14.4" customHeight="1" s="192">
      <c r="A75" s="247" t="n"/>
      <c r="B75" s="248" t="n">
        <v>46028</v>
      </c>
      <c r="F75" s="224" t="inlineStr">
        <is>
          <t xml:space="preserve">        2704</t>
        </is>
      </c>
      <c r="H75" s="225" t="inlineStr">
        <is>
          <t>v0000546 - TransAction Associates Inc</t>
        </is>
      </c>
      <c r="K75" s="249" t="n">
        <v>4678.28</v>
      </c>
      <c r="M75" s="250" t="n">
        <v>46047</v>
      </c>
    </row>
    <row r="76" ht="14.4" customHeight="1" s="192">
      <c r="A76" s="247" t="n"/>
      <c r="B76" s="248" t="n">
        <v>46028</v>
      </c>
      <c r="F76" s="224" t="inlineStr">
        <is>
          <t xml:space="preserve">        2705</t>
        </is>
      </c>
      <c r="H76" s="225" t="inlineStr">
        <is>
          <t>v0000567 - JLL Marketplace LLC</t>
        </is>
      </c>
      <c r="K76" s="249" t="n">
        <v>301.5</v>
      </c>
      <c r="M76" s="250" t="n">
        <v>46047</v>
      </c>
    </row>
    <row r="77" ht="14.4" customHeight="1" s="192">
      <c r="A77" s="247" t="n"/>
      <c r="B77" s="248" t="n">
        <v>46028</v>
      </c>
      <c r="F77" s="224" t="inlineStr">
        <is>
          <t xml:space="preserve">        2706</t>
        </is>
      </c>
      <c r="H77" s="225" t="inlineStr">
        <is>
          <t>v0000606 - NRG Business Marketing</t>
        </is>
      </c>
      <c r="K77" s="249" t="n">
        <v>18951.27</v>
      </c>
      <c r="M77" s="250" t="n">
        <v>46047</v>
      </c>
    </row>
    <row r="78" ht="14.4" customHeight="1" s="192">
      <c r="B78" s="248" t="n">
        <v>46028</v>
      </c>
      <c r="F78" s="224" t="inlineStr">
        <is>
          <t xml:space="preserve">        2707</t>
        </is>
      </c>
      <c r="H78" s="225" t="inlineStr">
        <is>
          <t>v0000630 - Prudential Overall Supply</t>
        </is>
      </c>
      <c r="K78" s="249" t="n">
        <v>306.84</v>
      </c>
      <c r="M78" s="250" t="n">
        <v>46047</v>
      </c>
    </row>
    <row r="79">
      <c r="B79" s="248" t="n">
        <v>46028</v>
      </c>
      <c r="F79" s="224" t="inlineStr">
        <is>
          <t xml:space="preserve">        2709</t>
        </is>
      </c>
      <c r="H79" s="225" t="inlineStr">
        <is>
          <t>v0000678 - Kirkwood</t>
        </is>
      </c>
      <c r="K79" s="249" t="n">
        <v>143.19</v>
      </c>
      <c r="M79" s="250" t="n">
        <v>46047</v>
      </c>
    </row>
    <row r="80">
      <c r="B80" s="248" t="n">
        <v>46028</v>
      </c>
      <c r="F80" s="224" t="inlineStr">
        <is>
          <t xml:space="preserve">        2710</t>
        </is>
      </c>
      <c r="H80" s="225" t="inlineStr">
        <is>
          <t>v0000683 - JM Service Company LLC</t>
        </is>
      </c>
      <c r="K80" s="249" t="n">
        <v>6740</v>
      </c>
      <c r="M80" s="250" t="n">
        <v>46047</v>
      </c>
    </row>
    <row r="81">
      <c r="B81" s="248" t="n">
        <v>46028</v>
      </c>
      <c r="F81" s="224" t="inlineStr">
        <is>
          <t xml:space="preserve">        2711</t>
        </is>
      </c>
      <c r="H81" s="225" t="inlineStr">
        <is>
          <t>v0000708 - Hudson Energy Services LLC</t>
        </is>
      </c>
      <c r="K81" s="249" t="n">
        <v>37842.58</v>
      </c>
      <c r="M81" s="250" t="n">
        <v>46047</v>
      </c>
    </row>
    <row r="82">
      <c r="B82" s="248" t="n">
        <v>46036</v>
      </c>
      <c r="F82" s="224" t="inlineStr">
        <is>
          <t xml:space="preserve">        2714</t>
        </is>
      </c>
      <c r="H82" s="225" t="inlineStr">
        <is>
          <t>v0000049 - Eversource</t>
        </is>
      </c>
      <c r="K82" s="249" t="n">
        <v>24450.33</v>
      </c>
      <c r="M82" s="250" t="n">
        <v>46047</v>
      </c>
    </row>
    <row r="83">
      <c r="B83" s="248" t="n">
        <v>46036</v>
      </c>
      <c r="F83" s="224" t="inlineStr">
        <is>
          <t xml:space="preserve">        2716</t>
        </is>
      </c>
      <c r="H83" s="225" t="inlineStr">
        <is>
          <t>v0000252 - NORTHEAST SECURITY INC</t>
        </is>
      </c>
      <c r="K83" s="249" t="n">
        <v>12159.28</v>
      </c>
      <c r="M83" s="250" t="n">
        <v>46047</v>
      </c>
    </row>
    <row r="84">
      <c r="B84" s="248" t="n">
        <v>46036</v>
      </c>
      <c r="F84" s="224" t="inlineStr">
        <is>
          <t xml:space="preserve">        2717</t>
        </is>
      </c>
      <c r="H84" s="225" t="inlineStr">
        <is>
          <t>v0000299 - CASELLA WASTE SYSTEM</t>
        </is>
      </c>
      <c r="K84" s="249" t="n">
        <v>3329.67</v>
      </c>
      <c r="M84" s="250" t="n">
        <v>46047</v>
      </c>
    </row>
    <row r="85">
      <c r="B85" s="248" t="n">
        <v>46036</v>
      </c>
      <c r="F85" s="224" t="inlineStr">
        <is>
          <t xml:space="preserve">        2718</t>
        </is>
      </c>
      <c r="H85" s="225" t="inlineStr">
        <is>
          <t>v0000301 - CINTAS</t>
        </is>
      </c>
      <c r="K85" s="249" t="n">
        <v>77.02</v>
      </c>
      <c r="M85" s="250" t="n">
        <v>46047</v>
      </c>
    </row>
    <row r="86">
      <c r="B86" s="248" t="n">
        <v>46036</v>
      </c>
      <c r="F86" s="224" t="inlineStr">
        <is>
          <t xml:space="preserve">        2720</t>
        </is>
      </c>
      <c r="H86" s="225" t="inlineStr">
        <is>
          <t xml:space="preserve">v0000516 - Outdoor Pride Landscaping &amp; Snow Mgmt </t>
        </is>
      </c>
      <c r="K86" s="249" t="n">
        <v>13638</v>
      </c>
      <c r="M86" s="250" t="n">
        <v>46047</v>
      </c>
    </row>
    <row r="87">
      <c r="B87" s="248" t="n">
        <v>46042</v>
      </c>
      <c r="F87" s="224" t="inlineStr">
        <is>
          <t xml:space="preserve">        2730</t>
        </is>
      </c>
      <c r="H87" s="225" t="inlineStr">
        <is>
          <t>v0000567 - JLL Marketplace LLC</t>
        </is>
      </c>
      <c r="K87" s="249" t="n">
        <v>350.54</v>
      </c>
      <c r="M87" s="250" t="n">
        <v>46047</v>
      </c>
    </row>
    <row r="88">
      <c r="B88" s="209" t="inlineStr">
        <is>
          <t>Total Cleared Checks</t>
        </is>
      </c>
      <c r="K88" s="251" t="n">
        <v>287890.83</v>
      </c>
      <c r="L88" s="252" t="n"/>
      <c r="M88" s="209" t="inlineStr"/>
    </row>
    <row r="89">
      <c r="B89" s="209" t="inlineStr">
        <is>
          <t>Cleared Other Items</t>
        </is>
      </c>
      <c r="K89" s="209" t="inlineStr"/>
      <c r="M89" s="209" t="inlineStr"/>
    </row>
    <row r="90">
      <c r="B90" s="222" t="inlineStr"/>
      <c r="F90" s="220" t="inlineStr"/>
      <c r="H90" s="222" t="inlineStr"/>
      <c r="K90" s="222" t="inlineStr"/>
      <c r="M90" s="222" t="inlineStr"/>
    </row>
    <row r="91">
      <c r="B91" s="221" t="inlineStr">
        <is>
          <t>Date</t>
        </is>
      </c>
      <c r="C91" s="240" t="n"/>
      <c r="D91" s="240" t="n"/>
      <c r="E91" s="240" t="n"/>
      <c r="F91" s="221" t="inlineStr">
        <is>
          <t>Tran #</t>
        </is>
      </c>
      <c r="G91" s="240" t="n"/>
      <c r="H91" s="221" t="inlineStr">
        <is>
          <t>Notes</t>
        </is>
      </c>
      <c r="I91" s="240" t="n"/>
      <c r="J91" s="240" t="n"/>
      <c r="K91" s="221" t="inlineStr">
        <is>
          <t>Amount</t>
        </is>
      </c>
      <c r="L91" s="240" t="n"/>
      <c r="M91" s="221" t="inlineStr">
        <is>
          <t>Date Cleared</t>
        </is>
      </c>
      <c r="N91" s="240" t="n"/>
      <c r="O91" s="240" t="n"/>
      <c r="P91" s="240" t="n"/>
      <c r="Q91" s="240" t="n"/>
    </row>
    <row r="92">
      <c r="B92" s="248" t="n">
        <v>46024</v>
      </c>
      <c r="F92" s="224" t="inlineStr">
        <is>
          <t>JE 18364</t>
        </is>
      </c>
      <c r="H92" s="225" t="inlineStr">
        <is>
          <t>01.02 Sweep</t>
        </is>
      </c>
      <c r="K92" s="249" t="n">
        <v>217871.54</v>
      </c>
      <c r="M92" s="250" t="n">
        <v>46047</v>
      </c>
    </row>
    <row r="93">
      <c r="B93" s="248" t="n">
        <v>46027</v>
      </c>
      <c r="F93" s="224" t="inlineStr">
        <is>
          <t>JE 18365</t>
        </is>
      </c>
      <c r="H93" s="225" t="inlineStr">
        <is>
          <t>01.05 Sweep</t>
        </is>
      </c>
      <c r="K93" s="249" t="n">
        <v>960640.12</v>
      </c>
      <c r="M93" s="250" t="n">
        <v>46047</v>
      </c>
    </row>
    <row r="94">
      <c r="B94" s="248" t="n">
        <v>46029</v>
      </c>
      <c r="F94" s="224" t="inlineStr">
        <is>
          <t>JE 18462</t>
        </is>
      </c>
      <c r="H94" s="225" t="inlineStr">
        <is>
          <t>01.07.26 Mortgage Wire</t>
        </is>
      </c>
      <c r="K94" s="249" t="n">
        <v>-848694.5600000001</v>
      </c>
      <c r="M94" s="250" t="n">
        <v>46047</v>
      </c>
    </row>
    <row r="95">
      <c r="B95" s="248" t="n">
        <v>46029</v>
      </c>
      <c r="F95" s="224" t="inlineStr">
        <is>
          <t>JE 18463</t>
        </is>
      </c>
      <c r="H95" s="225" t="inlineStr">
        <is>
          <t>01.07 Sweep</t>
        </is>
      </c>
      <c r="K95" s="249" t="n">
        <v>588325.42</v>
      </c>
      <c r="M95" s="250" t="n">
        <v>46047</v>
      </c>
    </row>
    <row r="96">
      <c r="B96" s="209" t="inlineStr">
        <is>
          <t>Total Cleared Other Items</t>
        </is>
      </c>
      <c r="K96" s="251" t="n">
        <v>918142.52</v>
      </c>
      <c r="L96" s="252" t="n"/>
      <c r="M96" s="209" t="inlineStr"/>
    </row>
    <row r="97">
      <c r="B97" s="220" t="inlineStr"/>
      <c r="F97" s="220" t="inlineStr"/>
      <c r="H97" s="220" t="inlineStr"/>
      <c r="K97" s="230" t="inlineStr"/>
      <c r="L97" s="253" t="n"/>
      <c r="M97" s="220" t="inlineStr"/>
    </row>
  </sheetData>
  <mergeCells count="352">
    <mergeCell ref="B74:E74"/>
    <mergeCell ref="B68:E68"/>
    <mergeCell ref="M49:Q49"/>
    <mergeCell ref="L27:O27"/>
    <mergeCell ref="B76:E76"/>
    <mergeCell ref="H84:J84"/>
    <mergeCell ref="M78:Q78"/>
    <mergeCell ref="K81:L81"/>
    <mergeCell ref="H75:J75"/>
    <mergeCell ref="C24:F24"/>
    <mergeCell ref="F70:G70"/>
    <mergeCell ref="H86:J86"/>
    <mergeCell ref="C26:F26"/>
    <mergeCell ref="F71:G71"/>
    <mergeCell ref="M91:Q91"/>
    <mergeCell ref="C14:K14"/>
    <mergeCell ref="B69:E69"/>
    <mergeCell ref="L38:O38"/>
    <mergeCell ref="B87:E87"/>
    <mergeCell ref="M93:Q93"/>
    <mergeCell ref="K92:L92"/>
    <mergeCell ref="C17:F17"/>
    <mergeCell ref="L40:O40"/>
    <mergeCell ref="B64:E64"/>
    <mergeCell ref="B51:E51"/>
    <mergeCell ref="C19:F19"/>
    <mergeCell ref="M84:Q84"/>
    <mergeCell ref="F66:G66"/>
    <mergeCell ref="M75:Q75"/>
    <mergeCell ref="K56:L56"/>
    <mergeCell ref="B89:J89"/>
    <mergeCell ref="M86:Q86"/>
    <mergeCell ref="M80:Q80"/>
    <mergeCell ref="F46:G46"/>
    <mergeCell ref="B77:E77"/>
    <mergeCell ref="F61:G61"/>
    <mergeCell ref="F48:G48"/>
    <mergeCell ref="G16:H16"/>
    <mergeCell ref="F73:G73"/>
    <mergeCell ref="B88:J88"/>
    <mergeCell ref="B95:E95"/>
    <mergeCell ref="K54:L54"/>
    <mergeCell ref="B97:E97"/>
    <mergeCell ref="I39:K39"/>
    <mergeCell ref="B72:E72"/>
    <mergeCell ref="H71:J71"/>
    <mergeCell ref="C20:F20"/>
    <mergeCell ref="M46:Q46"/>
    <mergeCell ref="K97:L97"/>
    <mergeCell ref="M61:Q61"/>
    <mergeCell ref="C22:F22"/>
    <mergeCell ref="F92:G92"/>
    <mergeCell ref="K57:L57"/>
    <mergeCell ref="B96:J96"/>
    <mergeCell ref="M56:Q56"/>
    <mergeCell ref="F69:G69"/>
    <mergeCell ref="B83:E83"/>
    <mergeCell ref="C38:F38"/>
    <mergeCell ref="G17:H17"/>
    <mergeCell ref="B85:E85"/>
    <mergeCell ref="H72:J72"/>
    <mergeCell ref="F51:G51"/>
    <mergeCell ref="G19:H19"/>
    <mergeCell ref="C33:F33"/>
    <mergeCell ref="K75:L75"/>
    <mergeCell ref="B44:I44"/>
    <mergeCell ref="G34:K34"/>
    <mergeCell ref="C35:F35"/>
    <mergeCell ref="K70:L70"/>
    <mergeCell ref="F67:G67"/>
    <mergeCell ref="H54:J54"/>
    <mergeCell ref="F82:G82"/>
    <mergeCell ref="H56:J56"/>
    <mergeCell ref="H83:J83"/>
    <mergeCell ref="M64:Q64"/>
    <mergeCell ref="M51:Q51"/>
    <mergeCell ref="L17:O17"/>
    <mergeCell ref="B91:E91"/>
    <mergeCell ref="K50:L50"/>
    <mergeCell ref="K58:L58"/>
    <mergeCell ref="L19:O19"/>
    <mergeCell ref="B93:E93"/>
    <mergeCell ref="K52:L52"/>
    <mergeCell ref="F72:G72"/>
    <mergeCell ref="H92:J92"/>
    <mergeCell ref="B86:E86"/>
    <mergeCell ref="H78:J78"/>
    <mergeCell ref="G20:H20"/>
    <mergeCell ref="L14:O14"/>
    <mergeCell ref="K53:L53"/>
    <mergeCell ref="H58:J58"/>
    <mergeCell ref="G22:H22"/>
    <mergeCell ref="K78:L78"/>
    <mergeCell ref="H73:J73"/>
    <mergeCell ref="H60:J60"/>
    <mergeCell ref="I28:K28"/>
    <mergeCell ref="F54:G54"/>
    <mergeCell ref="M83:Q83"/>
    <mergeCell ref="K80:L80"/>
    <mergeCell ref="M52:Q52"/>
    <mergeCell ref="I21:K21"/>
    <mergeCell ref="K55:L55"/>
    <mergeCell ref="K79:L79"/>
    <mergeCell ref="F83:G83"/>
    <mergeCell ref="H57:J57"/>
    <mergeCell ref="I23:K23"/>
    <mergeCell ref="F85:G85"/>
    <mergeCell ref="B66:E66"/>
    <mergeCell ref="G33:H33"/>
    <mergeCell ref="B67:E67"/>
    <mergeCell ref="M57:Q57"/>
    <mergeCell ref="B61:E61"/>
    <mergeCell ref="K66:L66"/>
    <mergeCell ref="L20:O20"/>
    <mergeCell ref="M71:Q71"/>
    <mergeCell ref="K74:L74"/>
    <mergeCell ref="M58:Q58"/>
    <mergeCell ref="K68:L68"/>
    <mergeCell ref="L22:O22"/>
    <mergeCell ref="H52:J52"/>
    <mergeCell ref="H79:J79"/>
    <mergeCell ref="H70:J70"/>
    <mergeCell ref="H81:J81"/>
    <mergeCell ref="B54:E54"/>
    <mergeCell ref="I29:K29"/>
    <mergeCell ref="F91:G91"/>
    <mergeCell ref="E7:M7"/>
    <mergeCell ref="B56:E56"/>
    <mergeCell ref="H76:J76"/>
    <mergeCell ref="I31:K31"/>
    <mergeCell ref="F93:G93"/>
    <mergeCell ref="L33:O33"/>
    <mergeCell ref="H63:J63"/>
    <mergeCell ref="B57:E57"/>
    <mergeCell ref="H50:J50"/>
    <mergeCell ref="L35:O35"/>
    <mergeCell ref="I26:K26"/>
    <mergeCell ref="G40:K40"/>
    <mergeCell ref="H94:J94"/>
    <mergeCell ref="M79:Q79"/>
    <mergeCell ref="M73:Q73"/>
    <mergeCell ref="M70:Q70"/>
    <mergeCell ref="M60:Q60"/>
    <mergeCell ref="B75:E75"/>
    <mergeCell ref="K94:L94"/>
    <mergeCell ref="B62:E62"/>
    <mergeCell ref="I19:K19"/>
    <mergeCell ref="M74:Q74"/>
    <mergeCell ref="K77:L77"/>
    <mergeCell ref="B70:E70"/>
    <mergeCell ref="C25:F25"/>
    <mergeCell ref="G29:H29"/>
    <mergeCell ref="L23:O23"/>
    <mergeCell ref="B82:E82"/>
    <mergeCell ref="M63:Q63"/>
    <mergeCell ref="G31:H31"/>
    <mergeCell ref="M50:Q50"/>
    <mergeCell ref="K87:L87"/>
    <mergeCell ref="K49:L49"/>
    <mergeCell ref="I32:K32"/>
    <mergeCell ref="B65:E65"/>
    <mergeCell ref="M92:Q92"/>
    <mergeCell ref="K95:L95"/>
    <mergeCell ref="L34:O34"/>
    <mergeCell ref="K89:L89"/>
    <mergeCell ref="K88:L88"/>
    <mergeCell ref="H66:J66"/>
    <mergeCell ref="K90:L90"/>
    <mergeCell ref="C15:O15"/>
    <mergeCell ref="H95:J95"/>
    <mergeCell ref="M81:Q81"/>
    <mergeCell ref="H97:J97"/>
    <mergeCell ref="F56:G56"/>
    <mergeCell ref="M76:Q76"/>
    <mergeCell ref="B78:E78"/>
    <mergeCell ref="F57:G57"/>
    <mergeCell ref="L31:O31"/>
    <mergeCell ref="I22:K22"/>
    <mergeCell ref="C28:F28"/>
    <mergeCell ref="D5:M5"/>
    <mergeCell ref="M94:Q94"/>
    <mergeCell ref="K63:L63"/>
    <mergeCell ref="C30:F30"/>
    <mergeCell ref="K96:L96"/>
    <mergeCell ref="F75:G75"/>
    <mergeCell ref="F62:G62"/>
    <mergeCell ref="M95:Q95"/>
    <mergeCell ref="M89:Q89"/>
    <mergeCell ref="H67:J67"/>
    <mergeCell ref="M97:Q97"/>
    <mergeCell ref="B53:E53"/>
    <mergeCell ref="L39:O39"/>
    <mergeCell ref="G25:H25"/>
    <mergeCell ref="K93:L93"/>
    <mergeCell ref="F64:G64"/>
    <mergeCell ref="B84:E84"/>
    <mergeCell ref="B80:E80"/>
    <mergeCell ref="C18:F18"/>
    <mergeCell ref="B79:E79"/>
    <mergeCell ref="K47:L47"/>
    <mergeCell ref="C34:F34"/>
    <mergeCell ref="H87:J87"/>
    <mergeCell ref="L32:O32"/>
    <mergeCell ref="K46:L46"/>
    <mergeCell ref="F50:G50"/>
    <mergeCell ref="B81:E81"/>
    <mergeCell ref="C29:F29"/>
    <mergeCell ref="K71:L71"/>
    <mergeCell ref="M85:Q85"/>
    <mergeCell ref="H82:J82"/>
    <mergeCell ref="H53:J53"/>
    <mergeCell ref="C31:F31"/>
    <mergeCell ref="K73:L73"/>
    <mergeCell ref="H55:J55"/>
    <mergeCell ref="F49:G49"/>
    <mergeCell ref="L25:O25"/>
    <mergeCell ref="I16:K16"/>
    <mergeCell ref="M96:Q96"/>
    <mergeCell ref="F78:G78"/>
    <mergeCell ref="B92:E92"/>
    <mergeCell ref="F65:G65"/>
    <mergeCell ref="I18:K18"/>
    <mergeCell ref="B94:E94"/>
    <mergeCell ref="F55:G55"/>
    <mergeCell ref="G28:H28"/>
    <mergeCell ref="H48:J48"/>
    <mergeCell ref="Q2:S2"/>
    <mergeCell ref="K59:L59"/>
    <mergeCell ref="G30:H30"/>
    <mergeCell ref="C37:K37"/>
    <mergeCell ref="K61:L61"/>
    <mergeCell ref="F58:G58"/>
    <mergeCell ref="K48:L48"/>
    <mergeCell ref="F52:G52"/>
    <mergeCell ref="M47:Q47"/>
    <mergeCell ref="F60:G60"/>
    <mergeCell ref="H74:J74"/>
    <mergeCell ref="K62:L62"/>
    <mergeCell ref="H68:J68"/>
    <mergeCell ref="F53:G53"/>
    <mergeCell ref="G21:H21"/>
    <mergeCell ref="C39:F39"/>
    <mergeCell ref="F68:G68"/>
    <mergeCell ref="G23:H23"/>
    <mergeCell ref="F84:G84"/>
    <mergeCell ref="C32:F32"/>
    <mergeCell ref="H69:J69"/>
    <mergeCell ref="I24:K24"/>
    <mergeCell ref="F86:G86"/>
    <mergeCell ref="G38:K38"/>
    <mergeCell ref="K76:L76"/>
    <mergeCell ref="F80:G80"/>
    <mergeCell ref="I17:K17"/>
    <mergeCell ref="G18:H18"/>
    <mergeCell ref="F79:G79"/>
    <mergeCell ref="K67:L67"/>
    <mergeCell ref="L28:O28"/>
    <mergeCell ref="F81:G81"/>
    <mergeCell ref="G35:K35"/>
    <mergeCell ref="M66:Q66"/>
    <mergeCell ref="C27:F27"/>
    <mergeCell ref="K69:L69"/>
    <mergeCell ref="M53:Q53"/>
    <mergeCell ref="H64:J64"/>
    <mergeCell ref="H51:J51"/>
    <mergeCell ref="B49:E49"/>
    <mergeCell ref="M68:Q68"/>
    <mergeCell ref="F63:G63"/>
    <mergeCell ref="M55:Q55"/>
    <mergeCell ref="L21:O21"/>
    <mergeCell ref="M67:Q67"/>
    <mergeCell ref="F74:G74"/>
    <mergeCell ref="K64:L64"/>
    <mergeCell ref="M48:Q48"/>
    <mergeCell ref="B63:E63"/>
    <mergeCell ref="K51:L51"/>
    <mergeCell ref="B50:E50"/>
    <mergeCell ref="M69:Q69"/>
    <mergeCell ref="K72:L72"/>
    <mergeCell ref="F76:G76"/>
    <mergeCell ref="B90:E90"/>
    <mergeCell ref="L16:O16"/>
    <mergeCell ref="F94:G94"/>
    <mergeCell ref="H77:J77"/>
    <mergeCell ref="G24:H24"/>
    <mergeCell ref="G26:H26"/>
    <mergeCell ref="C40:F40"/>
    <mergeCell ref="K82:L82"/>
    <mergeCell ref="E2:M3"/>
    <mergeCell ref="L30:O30"/>
    <mergeCell ref="I27:K27"/>
    <mergeCell ref="L29:O29"/>
    <mergeCell ref="H59:J59"/>
    <mergeCell ref="I25:K25"/>
    <mergeCell ref="H46:J46"/>
    <mergeCell ref="K83:L83"/>
    <mergeCell ref="F87:G87"/>
    <mergeCell ref="H61:J61"/>
    <mergeCell ref="B55:E55"/>
    <mergeCell ref="G39:H39"/>
    <mergeCell ref="K60:L60"/>
    <mergeCell ref="H90:J90"/>
    <mergeCell ref="H65:J65"/>
    <mergeCell ref="I20:K20"/>
    <mergeCell ref="B71:E71"/>
    <mergeCell ref="B58:E58"/>
    <mergeCell ref="B52:E52"/>
    <mergeCell ref="M77:Q77"/>
    <mergeCell ref="L24:O24"/>
    <mergeCell ref="L18:O18"/>
    <mergeCell ref="B47:J47"/>
    <mergeCell ref="B60:E60"/>
    <mergeCell ref="F77:G77"/>
    <mergeCell ref="M62:Q62"/>
    <mergeCell ref="G32:H32"/>
    <mergeCell ref="L26:O26"/>
    <mergeCell ref="K65:L65"/>
    <mergeCell ref="C21:F21"/>
    <mergeCell ref="M72:Q72"/>
    <mergeCell ref="H49:J49"/>
    <mergeCell ref="M87:Q87"/>
    <mergeCell ref="C23:F23"/>
    <mergeCell ref="H85:J85"/>
    <mergeCell ref="M59:Q59"/>
    <mergeCell ref="G27:H27"/>
    <mergeCell ref="E9:M9"/>
    <mergeCell ref="I33:K33"/>
    <mergeCell ref="F59:G59"/>
    <mergeCell ref="M88:Q88"/>
    <mergeCell ref="M82:Q82"/>
    <mergeCell ref="K91:L91"/>
    <mergeCell ref="E11:M11"/>
    <mergeCell ref="F95:G95"/>
    <mergeCell ref="K85:L85"/>
    <mergeCell ref="H80:J80"/>
    <mergeCell ref="M54:Q54"/>
    <mergeCell ref="B59:E59"/>
    <mergeCell ref="K84:L84"/>
    <mergeCell ref="M90:Q90"/>
    <mergeCell ref="B46:E46"/>
    <mergeCell ref="F97:G97"/>
    <mergeCell ref="M65:Q65"/>
    <mergeCell ref="L37:O37"/>
    <mergeCell ref="H62:J62"/>
    <mergeCell ref="K86:L86"/>
    <mergeCell ref="F90:G90"/>
    <mergeCell ref="B48:E48"/>
    <mergeCell ref="C16:F16"/>
    <mergeCell ref="I30:K30"/>
    <mergeCell ref="H91:J91"/>
    <mergeCell ref="B73:E73"/>
    <mergeCell ref="H93:J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B1:L2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2" customWidth="1" style="192" min="1" max="1"/>
  </cols>
  <sheetData>
    <row r="1">
      <c r="C1" s="235" t="n"/>
      <c r="D1" s="235" t="n"/>
      <c r="E1" s="235" t="n"/>
      <c r="F1" s="235" t="n"/>
      <c r="G1" s="235" t="n"/>
      <c r="H1" s="235" t="n"/>
      <c r="I1" s="235" t="n"/>
      <c r="J1" s="235" t="n"/>
      <c r="K1" s="235" t="n"/>
      <c r="L1" s="235" t="n"/>
    </row>
    <row r="2">
      <c r="C2" s="235" t="n"/>
      <c r="D2" s="200" t="inlineStr">
        <is>
          <t>Revolution Labs Owner, LLC</t>
        </is>
      </c>
      <c r="I2" s="235" t="n"/>
      <c r="J2" s="235" t="n"/>
      <c r="K2" s="235" t="n"/>
      <c r="L2" s="237" t="n">
        <v>46155.41724100694</v>
      </c>
    </row>
    <row r="3">
      <c r="C3" s="235" t="n"/>
      <c r="I3" s="235" t="n"/>
      <c r="J3" s="235" t="n"/>
      <c r="K3" s="235" t="n"/>
      <c r="L3" s="235" t="n"/>
    </row>
    <row r="4">
      <c r="C4" s="235" t="n"/>
      <c r="D4" s="235" t="n"/>
      <c r="E4" s="235" t="n"/>
      <c r="F4" s="235" t="n"/>
      <c r="G4" s="235" t="n"/>
      <c r="H4" s="235" t="n"/>
      <c r="I4" s="235" t="n"/>
      <c r="J4" s="235" t="n"/>
      <c r="K4" s="235" t="n"/>
      <c r="L4" s="235" t="n"/>
    </row>
    <row r="5" ht="22.05" customHeight="1" s="192">
      <c r="C5" s="200" t="inlineStr">
        <is>
          <t>Bank Reconciliation Report</t>
        </is>
      </c>
      <c r="I5" s="235" t="n"/>
      <c r="J5" s="235" t="n"/>
      <c r="K5" s="235" t="n"/>
      <c r="L5" s="235" t="n"/>
    </row>
    <row r="6">
      <c r="C6" s="235" t="n"/>
      <c r="D6" s="235" t="n"/>
      <c r="E6" s="235" t="n"/>
      <c r="F6" s="235" t="n"/>
      <c r="G6" s="235" t="n"/>
      <c r="H6" s="235" t="n"/>
      <c r="I6" s="235" t="n"/>
      <c r="J6" s="235" t="n"/>
      <c r="K6" s="235" t="n"/>
      <c r="L6" s="235" t="n"/>
    </row>
    <row r="7">
      <c r="C7" s="235" t="n"/>
      <c r="D7" s="238" t="n">
        <v>46047</v>
      </c>
      <c r="I7" s="235" t="n"/>
      <c r="J7" s="235" t="n"/>
      <c r="K7" s="235" t="n"/>
      <c r="L7" s="235" t="n"/>
    </row>
    <row r="8">
      <c r="C8" s="235" t="n"/>
      <c r="D8" s="235" t="n"/>
      <c r="E8" s="235" t="n"/>
      <c r="F8" s="235" t="n"/>
      <c r="G8" s="235" t="n"/>
      <c r="H8" s="235" t="n"/>
      <c r="I8" s="235" t="n"/>
      <c r="J8" s="235" t="n"/>
      <c r="K8" s="235" t="n"/>
      <c r="L8" s="235" t="n"/>
    </row>
    <row r="9">
      <c r="C9" s="235" t="n"/>
      <c r="D9" s="204" t="inlineStr">
        <is>
          <t>466007913132</t>
        </is>
      </c>
      <c r="I9" s="235" t="n"/>
      <c r="J9" s="235" t="n"/>
      <c r="K9" s="235" t="n"/>
      <c r="L9" s="235" t="n"/>
    </row>
    <row r="10">
      <c r="C10" s="235" t="n"/>
      <c r="D10" s="235" t="n"/>
      <c r="E10" s="235" t="n"/>
      <c r="F10" s="235" t="n"/>
      <c r="G10" s="235" t="n"/>
      <c r="H10" s="235" t="n"/>
      <c r="I10" s="235" t="n"/>
      <c r="J10" s="235" t="n"/>
      <c r="K10" s="235" t="n"/>
      <c r="L10" s="235" t="n"/>
    </row>
    <row r="11">
      <c r="C11" s="235" t="n"/>
      <c r="D11" s="204" t="inlineStr">
        <is>
          <t>Posted by: jlrr0627 on 2/4/2026</t>
        </is>
      </c>
      <c r="I11" s="235" t="n"/>
      <c r="J11" s="235" t="n"/>
      <c r="K11" s="235" t="n"/>
      <c r="L11" s="235" t="n"/>
    </row>
    <row r="12">
      <c r="C12" s="235" t="n"/>
      <c r="D12" s="235" t="n"/>
      <c r="E12" s="235" t="n"/>
      <c r="F12" s="235" t="n"/>
      <c r="G12" s="235" t="n"/>
      <c r="H12" s="235" t="n"/>
      <c r="I12" s="235" t="n"/>
      <c r="J12" s="235" t="n"/>
      <c r="K12" s="235" t="n"/>
      <c r="L12" s="235" t="n"/>
    </row>
    <row r="13">
      <c r="C13" s="235" t="n"/>
      <c r="D13" s="235" t="n"/>
      <c r="E13" s="235" t="n"/>
      <c r="F13" s="235" t="n"/>
      <c r="G13" s="235" t="n"/>
      <c r="H13" s="235" t="n"/>
      <c r="I13" s="235" t="n"/>
      <c r="J13" s="235" t="n"/>
      <c r="K13" s="235" t="n"/>
      <c r="L13" s="235" t="n"/>
    </row>
    <row r="14">
      <c r="B14" s="209" t="inlineStr">
        <is>
          <t>Balance Per Bank Statement as of 1/25/2026</t>
        </is>
      </c>
      <c r="H14" s="239" t="n">
        <v>153410.1</v>
      </c>
      <c r="K14" s="235" t="n"/>
      <c r="L14" s="235" t="n"/>
    </row>
    <row r="15">
      <c r="B15" s="209" t="inlineStr"/>
      <c r="E15" s="211" t="inlineStr">
        <is>
          <t>Reconciled Bank Balance</t>
        </is>
      </c>
      <c r="H15" s="243" t="n">
        <v>153410.1</v>
      </c>
      <c r="I15" s="240" t="n"/>
      <c r="J15" s="240" t="n"/>
      <c r="K15" s="235" t="n"/>
      <c r="L15" s="235" t="n"/>
    </row>
    <row r="16">
      <c r="C16" s="235" t="n"/>
      <c r="D16" s="235" t="n"/>
      <c r="E16" s="235" t="n"/>
      <c r="F16" s="235" t="n"/>
      <c r="G16" s="235" t="n"/>
      <c r="H16" s="235" t="n"/>
      <c r="I16" s="235" t="n"/>
      <c r="J16" s="235" t="n"/>
      <c r="K16" s="235" t="n"/>
      <c r="L16" s="235" t="n"/>
    </row>
    <row r="17">
      <c r="B17" s="209" t="inlineStr">
        <is>
          <t>Balance per GL as of 1/25/2026</t>
        </is>
      </c>
      <c r="H17" s="239" t="n">
        <v>153410.1</v>
      </c>
    </row>
    <row r="18">
      <c r="B18" s="209" t="inlineStr"/>
      <c r="E18" s="211" t="inlineStr">
        <is>
          <t>Reconciled Balance Per G/L</t>
        </is>
      </c>
      <c r="H18" s="243" t="n">
        <v>153410.1</v>
      </c>
      <c r="I18" s="240" t="n"/>
      <c r="J18" s="240" t="n"/>
    </row>
    <row r="19">
      <c r="B19" s="209" t="inlineStr"/>
      <c r="E19" s="234" t="inlineStr"/>
      <c r="G19" s="234" t="inlineStr"/>
      <c r="H19" s="209" t="inlineStr"/>
    </row>
    <row r="20" ht="15" customHeight="1" s="192" thickBot="1">
      <c r="B20" s="209" t="inlineStr">
        <is>
          <t>Difference</t>
        </is>
      </c>
      <c r="E20" s="234" t="inlineStr">
        <is>
          <t>(Reconciled Bank Balance And Reconciled Balance Per G/L)</t>
        </is>
      </c>
      <c r="H20" s="244" t="n">
        <v>0</v>
      </c>
      <c r="I20" s="245" t="n"/>
      <c r="J20" s="245" t="n"/>
    </row>
  </sheetData>
  <mergeCells count="21">
    <mergeCell ref="B14:G14"/>
    <mergeCell ref="B17:G17"/>
    <mergeCell ref="H17:J17"/>
    <mergeCell ref="E15:G15"/>
    <mergeCell ref="B19:D19"/>
    <mergeCell ref="H19:J19"/>
    <mergeCell ref="E19:F19"/>
    <mergeCell ref="D11:H11"/>
    <mergeCell ref="B15:D15"/>
    <mergeCell ref="B20:D20"/>
    <mergeCell ref="H15:J15"/>
    <mergeCell ref="D7:H7"/>
    <mergeCell ref="H18:J18"/>
    <mergeCell ref="H14:J14"/>
    <mergeCell ref="E18:G18"/>
    <mergeCell ref="D9:H9"/>
    <mergeCell ref="H20:J20"/>
    <mergeCell ref="C5:H5"/>
    <mergeCell ref="D2:H3"/>
    <mergeCell ref="B18:D18"/>
    <mergeCell ref="E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/>
  </sheetPr>
  <dimension ref="C1:T43"/>
  <sheetViews>
    <sheetView workbookViewId="0">
      <selection activeCell="A1" sqref="A1"/>
    </sheetView>
  </sheetViews>
  <sheetFormatPr baseColWidth="8" defaultRowHeight="14.4"/>
  <cols>
    <col width="2" customWidth="1" style="192" min="1" max="1"/>
  </cols>
  <sheetData>
    <row r="1">
      <c r="D1" s="235" t="n"/>
      <c r="E1" s="235" t="n"/>
      <c r="F1" s="235" t="n"/>
      <c r="G1" s="235" t="n"/>
      <c r="H1" s="235" t="n"/>
      <c r="I1" s="235" t="n"/>
      <c r="J1" s="235" t="n"/>
      <c r="K1" s="235" t="n"/>
      <c r="L1" s="235" t="n"/>
      <c r="M1" s="235" t="n"/>
      <c r="N1" s="235" t="n"/>
      <c r="O1" s="235" t="n"/>
      <c r="P1" s="235" t="n"/>
      <c r="Q1" s="235" t="n"/>
      <c r="R1" s="235" t="n"/>
      <c r="S1" s="235" t="n"/>
      <c r="T1" s="235" t="n"/>
    </row>
    <row r="2">
      <c r="D2" s="235" t="n"/>
      <c r="E2" s="235" t="n"/>
      <c r="F2" s="200" t="inlineStr">
        <is>
          <t>Revlabpm Deposit account</t>
        </is>
      </c>
      <c r="O2" s="235" t="n"/>
      <c r="P2" s="235" t="n"/>
      <c r="Q2" s="235" t="n"/>
      <c r="R2" s="237" t="n">
        <v>46155.41567831019</v>
      </c>
    </row>
    <row r="3">
      <c r="D3" s="235" t="n"/>
      <c r="E3" s="235" t="n"/>
      <c r="O3" s="235" t="n"/>
      <c r="P3" s="235" t="n"/>
      <c r="Q3" s="235" t="n"/>
      <c r="R3" s="235" t="n"/>
      <c r="S3" s="235" t="n"/>
      <c r="T3" s="235" t="n"/>
    </row>
    <row r="4">
      <c r="D4" s="235" t="n"/>
      <c r="E4" s="235" t="n"/>
      <c r="F4" s="235" t="n"/>
      <c r="G4" s="235" t="n"/>
      <c r="H4" s="235" t="n"/>
      <c r="I4" s="235" t="n"/>
      <c r="J4" s="235" t="n"/>
      <c r="K4" s="235" t="n"/>
      <c r="L4" s="235" t="n"/>
      <c r="M4" s="235" t="n"/>
      <c r="N4" s="235" t="n"/>
      <c r="O4" s="235" t="n"/>
      <c r="P4" s="235" t="n"/>
      <c r="Q4" s="235" t="n"/>
      <c r="R4" s="235" t="n"/>
      <c r="S4" s="235" t="n"/>
      <c r="T4" s="235" t="n"/>
    </row>
    <row r="5" ht="18" customHeight="1" s="192">
      <c r="D5" s="235" t="n"/>
      <c r="E5" s="200" t="inlineStr">
        <is>
          <t>Bank Reconciliation Report</t>
        </is>
      </c>
      <c r="O5" s="235" t="n"/>
      <c r="P5" s="235" t="n"/>
      <c r="Q5" s="235" t="n"/>
      <c r="R5" s="235" t="n"/>
      <c r="S5" s="235" t="n"/>
      <c r="T5" s="235" t="n"/>
    </row>
    <row r="6">
      <c r="D6" s="235" t="n"/>
      <c r="E6" s="235" t="n"/>
      <c r="F6" s="235" t="n"/>
      <c r="G6" s="235" t="n"/>
      <c r="H6" s="235" t="n"/>
      <c r="I6" s="235" t="n"/>
      <c r="J6" s="235" t="n"/>
      <c r="K6" s="235" t="n"/>
      <c r="L6" s="235" t="n"/>
      <c r="M6" s="235" t="n"/>
      <c r="N6" s="235" t="n"/>
      <c r="O6" s="235" t="n"/>
      <c r="P6" s="235" t="n"/>
      <c r="Q6" s="235" t="n"/>
      <c r="R6" s="235" t="n"/>
      <c r="S6" s="235" t="n"/>
      <c r="T6" s="235" t="n"/>
    </row>
    <row r="7">
      <c r="D7" s="235" t="n"/>
      <c r="E7" s="235" t="n"/>
      <c r="F7" s="238" t="n">
        <v>46047</v>
      </c>
      <c r="O7" s="235" t="n"/>
      <c r="P7" s="235" t="n"/>
      <c r="Q7" s="235" t="n"/>
      <c r="R7" s="235" t="n"/>
      <c r="S7" s="235" t="n"/>
      <c r="T7" s="235" t="n"/>
    </row>
    <row r="8">
      <c r="D8" s="235" t="n"/>
      <c r="E8" s="235" t="n"/>
      <c r="F8" s="235" t="n"/>
      <c r="G8" s="235" t="n"/>
      <c r="H8" s="235" t="n"/>
      <c r="I8" s="235" t="n"/>
      <c r="J8" s="235" t="n"/>
      <c r="K8" s="235" t="n"/>
      <c r="L8" s="235" t="n"/>
      <c r="M8" s="235" t="n"/>
      <c r="N8" s="235" t="n"/>
      <c r="O8" s="235" t="n"/>
      <c r="P8" s="235" t="n"/>
      <c r="Q8" s="235" t="n"/>
      <c r="R8" s="235" t="n"/>
      <c r="S8" s="235" t="n"/>
      <c r="T8" s="235" t="n"/>
    </row>
    <row r="9">
      <c r="D9" s="235" t="n"/>
      <c r="E9" s="235" t="n"/>
      <c r="F9" s="204" t="inlineStr">
        <is>
          <t>329681415132</t>
        </is>
      </c>
      <c r="O9" s="235" t="n"/>
      <c r="P9" s="235" t="n"/>
      <c r="Q9" s="235" t="n"/>
      <c r="R9" s="235" t="n"/>
      <c r="S9" s="235" t="n"/>
      <c r="T9" s="235" t="n"/>
    </row>
    <row r="10">
      <c r="D10" s="235" t="n"/>
      <c r="E10" s="235" t="n"/>
      <c r="F10" s="235" t="n"/>
      <c r="G10" s="235" t="n"/>
      <c r="H10" s="235" t="n"/>
      <c r="I10" s="235" t="n"/>
      <c r="J10" s="235" t="n"/>
      <c r="K10" s="235" t="n"/>
      <c r="L10" s="235" t="n"/>
      <c r="M10" s="235" t="n"/>
      <c r="N10" s="235" t="n"/>
      <c r="O10" s="235" t="n"/>
      <c r="P10" s="235" t="n"/>
      <c r="Q10" s="235" t="n"/>
      <c r="R10" s="235" t="n"/>
      <c r="S10" s="235" t="n"/>
      <c r="T10" s="235" t="n"/>
    </row>
    <row r="11">
      <c r="D11" s="235" t="n"/>
      <c r="E11" s="235" t="n"/>
      <c r="F11" s="204" t="inlineStr">
        <is>
          <t>Posted by: jlrr0627 on 2/1/2026</t>
        </is>
      </c>
      <c r="O11" s="235" t="n"/>
      <c r="P11" s="235" t="n"/>
      <c r="Q11" s="235" t="n"/>
      <c r="R11" s="235" t="n"/>
      <c r="S11" s="235" t="n"/>
      <c r="T11" s="235" t="n"/>
    </row>
    <row r="12">
      <c r="D12" s="235" t="n"/>
      <c r="E12" s="235" t="n"/>
      <c r="F12" s="235" t="n"/>
      <c r="G12" s="235" t="n"/>
      <c r="H12" s="235" t="n"/>
      <c r="I12" s="235" t="n"/>
      <c r="J12" s="235" t="n"/>
      <c r="K12" s="235" t="n"/>
      <c r="L12" s="235" t="n"/>
      <c r="M12" s="235" t="n"/>
      <c r="N12" s="235" t="n"/>
      <c r="O12" s="235" t="n"/>
      <c r="P12" s="235" t="n"/>
      <c r="Q12" s="235" t="n"/>
      <c r="R12" s="235" t="n"/>
      <c r="S12" s="235" t="n"/>
      <c r="T12" s="235" t="n"/>
    </row>
    <row r="13">
      <c r="D13" s="235" t="n"/>
      <c r="E13" s="235" t="n"/>
      <c r="F13" s="235" t="n"/>
      <c r="G13" s="235" t="n"/>
      <c r="H13" s="235" t="n"/>
      <c r="I13" s="235" t="n"/>
      <c r="J13" s="235" t="n"/>
      <c r="K13" s="235" t="n"/>
      <c r="L13" s="235" t="n"/>
      <c r="M13" s="235" t="n"/>
      <c r="N13" s="235" t="n"/>
      <c r="O13" s="235" t="n"/>
      <c r="P13" s="235" t="n"/>
      <c r="Q13" s="235" t="n"/>
      <c r="R13" s="235" t="n"/>
      <c r="S13" s="235" t="n"/>
      <c r="T13" s="235" t="n"/>
    </row>
    <row r="14">
      <c r="D14" s="209" t="inlineStr">
        <is>
          <t>Balance Per Bank Statement as of 1/25/2026</t>
        </is>
      </c>
      <c r="M14" s="239" t="n">
        <v>4375</v>
      </c>
      <c r="Q14" s="235" t="n"/>
      <c r="R14" s="235" t="n"/>
      <c r="S14" s="235" t="n"/>
      <c r="T14" s="235" t="n"/>
    </row>
    <row r="15">
      <c r="D15" s="209" t="inlineStr"/>
      <c r="H15" s="211" t="inlineStr">
        <is>
          <t>Reconciled Bank Balance</t>
        </is>
      </c>
      <c r="M15" s="243" t="n">
        <v>4375</v>
      </c>
      <c r="N15" s="240" t="n"/>
      <c r="O15" s="240" t="n"/>
      <c r="P15" s="240" t="n"/>
      <c r="Q15" s="235" t="n"/>
      <c r="R15" s="235" t="n"/>
      <c r="S15" s="235" t="n"/>
      <c r="T15" s="235" t="n"/>
    </row>
    <row r="16">
      <c r="D16" s="235" t="n"/>
      <c r="E16" s="235" t="n"/>
      <c r="F16" s="235" t="n"/>
      <c r="G16" s="235" t="n"/>
      <c r="H16" s="235" t="n"/>
      <c r="I16" s="235" t="n"/>
      <c r="J16" s="235" t="n"/>
      <c r="K16" s="235" t="n"/>
      <c r="L16" s="235" t="n"/>
      <c r="M16" s="235" t="n"/>
      <c r="N16" s="235" t="n"/>
      <c r="O16" s="235" t="n"/>
      <c r="P16" s="235" t="n"/>
      <c r="Q16" s="235" t="n"/>
      <c r="R16" s="235" t="n"/>
      <c r="S16" s="235" t="n"/>
      <c r="T16" s="235" t="n"/>
    </row>
    <row r="17">
      <c r="C17" s="235" t="n"/>
      <c r="D17" s="209" t="inlineStr">
        <is>
          <t>Balance per GL as of 1/25/2026</t>
        </is>
      </c>
      <c r="M17" s="239" t="n">
        <v>4375</v>
      </c>
      <c r="Q17" s="235" t="n"/>
      <c r="R17" s="235" t="n"/>
    </row>
    <row r="18">
      <c r="C18" s="235" t="n"/>
      <c r="D18" s="209" t="inlineStr"/>
      <c r="H18" s="211" t="inlineStr">
        <is>
          <t>Reconciled Balance Per G/L</t>
        </is>
      </c>
      <c r="M18" s="243" t="n">
        <v>4375</v>
      </c>
      <c r="N18" s="240" t="n"/>
      <c r="O18" s="240" t="n"/>
      <c r="P18" s="240" t="n"/>
      <c r="Q18" s="235" t="n"/>
      <c r="R18" s="235" t="n"/>
    </row>
    <row r="19">
      <c r="C19" s="235" t="n"/>
      <c r="D19" s="209" t="inlineStr"/>
      <c r="H19" s="234" t="inlineStr"/>
      <c r="J19" s="234" t="inlineStr"/>
      <c r="M19" s="209" t="inlineStr"/>
      <c r="Q19" s="235" t="n"/>
      <c r="R19" s="235" t="n"/>
    </row>
    <row r="20" ht="15" customHeight="1" s="192" thickBot="1">
      <c r="C20" s="235" t="n"/>
      <c r="D20" s="209" t="inlineStr">
        <is>
          <t>Difference</t>
        </is>
      </c>
      <c r="H20" s="234" t="inlineStr">
        <is>
          <t>(Reconciled Bank Balance And Reconciled Balance Per G/L)</t>
        </is>
      </c>
      <c r="M20" s="244" t="n">
        <v>0</v>
      </c>
      <c r="N20" s="245" t="n"/>
      <c r="O20" s="245" t="n"/>
      <c r="P20" s="245" t="n"/>
      <c r="Q20" s="235" t="n"/>
      <c r="R20" s="235" t="n"/>
    </row>
    <row r="21" ht="15" customHeight="1" s="192" thickTop="1">
      <c r="C21" s="235" t="n"/>
      <c r="D21" s="235" t="n"/>
      <c r="E21" s="235" t="n"/>
      <c r="F21" s="235" t="n"/>
      <c r="G21" s="235" t="n"/>
      <c r="H21" s="235" t="n"/>
      <c r="I21" s="235" t="n"/>
      <c r="J21" s="235" t="n"/>
      <c r="K21" s="235" t="n"/>
      <c r="L21" s="235" t="n"/>
      <c r="M21" s="235" t="n"/>
      <c r="N21" s="235" t="n"/>
      <c r="O21" s="235" t="n"/>
      <c r="P21" s="235" t="n"/>
      <c r="Q21" s="235" t="n"/>
      <c r="R21" s="235" t="n"/>
    </row>
    <row r="22">
      <c r="C22" s="235" t="n"/>
      <c r="D22" s="235" t="n"/>
      <c r="E22" s="235" t="n"/>
      <c r="F22" s="235" t="n"/>
      <c r="G22" s="235" t="n"/>
      <c r="H22" s="235" t="n"/>
      <c r="I22" s="235" t="n"/>
      <c r="J22" s="235" t="n"/>
      <c r="K22" s="235" t="n"/>
      <c r="L22" s="235" t="n"/>
      <c r="M22" s="235" t="n"/>
      <c r="N22" s="235" t="n"/>
      <c r="O22" s="235" t="n"/>
      <c r="P22" s="235" t="n"/>
      <c r="Q22" s="235" t="n"/>
      <c r="R22" s="235" t="n"/>
    </row>
    <row r="23">
      <c r="C23" s="235" t="n"/>
      <c r="D23" s="235" t="n"/>
      <c r="E23" s="235" t="n"/>
      <c r="F23" s="235" t="n"/>
      <c r="G23" s="235" t="n"/>
      <c r="H23" s="235" t="n"/>
      <c r="I23" s="235" t="n"/>
      <c r="J23" s="235" t="n"/>
      <c r="K23" s="235" t="n"/>
      <c r="L23" s="235" t="n"/>
      <c r="M23" s="235" t="n"/>
      <c r="N23" s="235" t="n"/>
      <c r="O23" s="235" t="n"/>
      <c r="P23" s="235" t="n"/>
      <c r="Q23" s="235" t="n"/>
      <c r="R23" s="235" t="n"/>
    </row>
    <row r="24">
      <c r="C24" s="235" t="n"/>
      <c r="D24" s="235" t="n"/>
      <c r="E24" s="235" t="n"/>
      <c r="F24" s="235" t="n"/>
      <c r="G24" s="235" t="n"/>
      <c r="H24" s="235" t="n"/>
      <c r="I24" s="235" t="n"/>
      <c r="J24" s="235" t="n"/>
      <c r="K24" s="235" t="n"/>
      <c r="L24" s="235" t="n"/>
      <c r="M24" s="235" t="n"/>
      <c r="N24" s="235" t="n"/>
      <c r="O24" s="235" t="n"/>
      <c r="P24" s="235" t="n"/>
      <c r="Q24" s="235" t="n"/>
      <c r="R24" s="235" t="n"/>
    </row>
    <row r="25">
      <c r="C25" s="209" t="inlineStr">
        <is>
          <t>Cleared Items:</t>
        </is>
      </c>
      <c r="K25" s="235" t="n"/>
      <c r="L25" s="235" t="n"/>
      <c r="M25" s="235" t="n"/>
      <c r="N25" s="235" t="n"/>
      <c r="O25" s="235" t="n"/>
      <c r="P25" s="235" t="n"/>
      <c r="Q25" s="235" t="n"/>
      <c r="R25" s="235" t="n"/>
    </row>
    <row r="26">
      <c r="C26" s="235" t="n"/>
      <c r="D26" s="235" t="n"/>
      <c r="E26" s="235" t="n"/>
      <c r="F26" s="235" t="n"/>
      <c r="G26" s="235" t="n"/>
      <c r="H26" s="235" t="n"/>
      <c r="I26" s="235" t="n"/>
      <c r="J26" s="235" t="n"/>
      <c r="K26" s="235" t="n"/>
      <c r="L26" s="235" t="n"/>
      <c r="M26" s="235" t="n"/>
      <c r="N26" s="235" t="n"/>
      <c r="O26" s="235" t="n"/>
      <c r="P26" s="235" t="n"/>
      <c r="Q26" s="235" t="n"/>
      <c r="R26" s="235" t="n"/>
    </row>
    <row r="27">
      <c r="C27" s="220" t="inlineStr"/>
      <c r="G27" s="220" t="inlineStr"/>
      <c r="I27" s="220" t="inlineStr"/>
      <c r="L27" s="220" t="inlineStr"/>
      <c r="N27" s="220" t="inlineStr"/>
    </row>
    <row r="28">
      <c r="C28" s="209" t="inlineStr">
        <is>
          <t>Cleared Deposits</t>
        </is>
      </c>
      <c r="L28" s="209" t="inlineStr"/>
      <c r="N28" s="209" t="inlineStr"/>
    </row>
    <row r="29">
      <c r="C29" s="222" t="inlineStr"/>
      <c r="G29" s="220" t="inlineStr"/>
      <c r="I29" s="222" t="inlineStr"/>
      <c r="L29" s="222" t="inlineStr"/>
      <c r="N29" s="222" t="inlineStr"/>
    </row>
    <row r="30">
      <c r="C30" s="221" t="inlineStr">
        <is>
          <t>Date</t>
        </is>
      </c>
      <c r="D30" s="240" t="n"/>
      <c r="E30" s="240" t="n"/>
      <c r="F30" s="240" t="n"/>
      <c r="G30" s="221" t="inlineStr">
        <is>
          <t>Tran #</t>
        </is>
      </c>
      <c r="H30" s="240" t="n"/>
      <c r="I30" s="221" t="inlineStr">
        <is>
          <t>Notes</t>
        </is>
      </c>
      <c r="J30" s="240" t="n"/>
      <c r="K30" s="240" t="n"/>
      <c r="L30" s="221" t="inlineStr">
        <is>
          <t>Amount</t>
        </is>
      </c>
      <c r="M30" s="240" t="n"/>
      <c r="N30" s="221" t="inlineStr">
        <is>
          <t>Date Cleared</t>
        </is>
      </c>
      <c r="O30" s="240" t="n"/>
      <c r="P30" s="240" t="n"/>
      <c r="Q30" s="240" t="n"/>
      <c r="R30" s="240" t="n"/>
    </row>
    <row r="31">
      <c r="C31" s="248" t="n">
        <v>46024</v>
      </c>
      <c r="G31" s="224" t="inlineStr">
        <is>
          <t xml:space="preserve">     134</t>
        </is>
      </c>
      <c r="I31" s="225" t="inlineStr"/>
      <c r="L31" s="249" t="n">
        <v>555863.01</v>
      </c>
      <c r="N31" s="250" t="n">
        <v>46047</v>
      </c>
    </row>
    <row r="32">
      <c r="C32" s="248" t="n">
        <v>46027</v>
      </c>
      <c r="G32" s="224" t="inlineStr">
        <is>
          <t xml:space="preserve">     133</t>
        </is>
      </c>
      <c r="I32" s="225" t="inlineStr"/>
      <c r="L32" s="249" t="n">
        <v>623273.65</v>
      </c>
      <c r="N32" s="250" t="n">
        <v>46047</v>
      </c>
    </row>
    <row r="33">
      <c r="C33" s="248" t="n">
        <v>46028</v>
      </c>
      <c r="G33" s="224" t="inlineStr">
        <is>
          <t xml:space="preserve">     135</t>
        </is>
      </c>
      <c r="I33" s="225" t="inlineStr"/>
      <c r="L33" s="249" t="n">
        <v>294162.71</v>
      </c>
      <c r="N33" s="250" t="n">
        <v>46047</v>
      </c>
    </row>
    <row r="34">
      <c r="C34" s="248" t="n">
        <v>46029</v>
      </c>
      <c r="G34" s="224" t="inlineStr">
        <is>
          <t xml:space="preserve">     136</t>
        </is>
      </c>
      <c r="I34" s="225" t="inlineStr"/>
      <c r="L34" s="249" t="n">
        <v>294162.71</v>
      </c>
      <c r="N34" s="250" t="n">
        <v>46047</v>
      </c>
    </row>
    <row r="35">
      <c r="C35" s="209" t="inlineStr">
        <is>
          <t>Total Cleared Deposits</t>
        </is>
      </c>
      <c r="L35" s="251" t="n">
        <v>1767462.08</v>
      </c>
      <c r="M35" s="252" t="n"/>
      <c r="N35" s="209" t="inlineStr"/>
    </row>
    <row r="36">
      <c r="C36" s="209" t="inlineStr">
        <is>
          <t>Cleared Other Items</t>
        </is>
      </c>
      <c r="L36" s="209" t="inlineStr"/>
      <c r="N36" s="209" t="inlineStr"/>
    </row>
    <row r="37">
      <c r="C37" s="222" t="inlineStr"/>
      <c r="G37" s="220" t="inlineStr"/>
      <c r="I37" s="222" t="inlineStr"/>
      <c r="L37" s="222" t="inlineStr"/>
      <c r="N37" s="222" t="inlineStr"/>
    </row>
    <row r="38">
      <c r="C38" s="221" t="inlineStr">
        <is>
          <t>Date</t>
        </is>
      </c>
      <c r="D38" s="240" t="n"/>
      <c r="E38" s="240" t="n"/>
      <c r="F38" s="240" t="n"/>
      <c r="G38" s="221" t="inlineStr">
        <is>
          <t>Tran #</t>
        </is>
      </c>
      <c r="H38" s="240" t="n"/>
      <c r="I38" s="221" t="inlineStr">
        <is>
          <t>Notes</t>
        </is>
      </c>
      <c r="J38" s="240" t="n"/>
      <c r="K38" s="240" t="n"/>
      <c r="L38" s="221" t="inlineStr">
        <is>
          <t>Amount</t>
        </is>
      </c>
      <c r="M38" s="240" t="n"/>
      <c r="N38" s="221" t="inlineStr">
        <is>
          <t>Date Cleared</t>
        </is>
      </c>
      <c r="O38" s="240" t="n"/>
      <c r="P38" s="240" t="n"/>
      <c r="Q38" s="240" t="n"/>
      <c r="R38" s="240" t="n"/>
    </row>
    <row r="39">
      <c r="C39" s="248" t="n">
        <v>46024</v>
      </c>
      <c r="G39" s="224" t="inlineStr">
        <is>
          <t>JE 18364</t>
        </is>
      </c>
      <c r="I39" s="225" t="inlineStr">
        <is>
          <t>01.02 Sweep</t>
        </is>
      </c>
      <c r="L39" s="249" t="n">
        <v>-217871.54</v>
      </c>
      <c r="N39" s="250" t="n">
        <v>46047</v>
      </c>
    </row>
    <row r="40">
      <c r="C40" s="248" t="n">
        <v>46027</v>
      </c>
      <c r="G40" s="224" t="inlineStr">
        <is>
          <t>JE 18365</t>
        </is>
      </c>
      <c r="I40" s="225" t="inlineStr">
        <is>
          <t>01.05 Sweep</t>
        </is>
      </c>
      <c r="L40" s="249" t="n">
        <v>-960640.12</v>
      </c>
      <c r="N40" s="250" t="n">
        <v>46047</v>
      </c>
    </row>
    <row r="41">
      <c r="C41" s="248" t="n">
        <v>46029</v>
      </c>
      <c r="G41" s="224" t="inlineStr">
        <is>
          <t>JE 18463</t>
        </is>
      </c>
      <c r="I41" s="225" t="inlineStr">
        <is>
          <t>01.07 Sweep</t>
        </is>
      </c>
      <c r="L41" s="249" t="n">
        <v>-588325.42</v>
      </c>
      <c r="N41" s="250" t="n">
        <v>46047</v>
      </c>
    </row>
    <row r="42">
      <c r="C42" s="248" t="n">
        <v>46031</v>
      </c>
      <c r="G42" s="224" t="inlineStr">
        <is>
          <t>JE 18617</t>
        </is>
      </c>
      <c r="I42" s="225" t="inlineStr">
        <is>
          <t>Record monthly bank fee</t>
        </is>
      </c>
      <c r="L42" s="249" t="n">
        <v>-625</v>
      </c>
      <c r="N42" s="250" t="n">
        <v>46047</v>
      </c>
    </row>
    <row r="43">
      <c r="C43" s="209" t="inlineStr">
        <is>
          <t>Total Cleared Other Items</t>
        </is>
      </c>
      <c r="L43" s="251" t="n">
        <v>-1767462.08</v>
      </c>
      <c r="M43" s="252" t="n"/>
      <c r="N43" s="209" t="inlineStr"/>
    </row>
  </sheetData>
  <mergeCells count="101">
    <mergeCell ref="D18:G18"/>
    <mergeCell ref="I32:K32"/>
    <mergeCell ref="C39:F39"/>
    <mergeCell ref="N41:R41"/>
    <mergeCell ref="C32:F32"/>
    <mergeCell ref="M14:P14"/>
    <mergeCell ref="L28:M28"/>
    <mergeCell ref="C37:F37"/>
    <mergeCell ref="C43:K43"/>
    <mergeCell ref="N43:R43"/>
    <mergeCell ref="C36:K36"/>
    <mergeCell ref="C25:J25"/>
    <mergeCell ref="D20:G20"/>
    <mergeCell ref="N33:R33"/>
    <mergeCell ref="N42:R42"/>
    <mergeCell ref="L39:M39"/>
    <mergeCell ref="G34:H34"/>
    <mergeCell ref="L29:M29"/>
    <mergeCell ref="L38:M38"/>
    <mergeCell ref="C28:K28"/>
    <mergeCell ref="I34:K34"/>
    <mergeCell ref="N28:R28"/>
    <mergeCell ref="C41:F41"/>
    <mergeCell ref="L31:M31"/>
    <mergeCell ref="L40:M40"/>
    <mergeCell ref="N30:R30"/>
    <mergeCell ref="C27:F27"/>
    <mergeCell ref="M18:P18"/>
    <mergeCell ref="M17:P17"/>
    <mergeCell ref="I37:K37"/>
    <mergeCell ref="N32:R32"/>
    <mergeCell ref="M19:P19"/>
    <mergeCell ref="G38:H38"/>
    <mergeCell ref="L42:M42"/>
    <mergeCell ref="C30:F30"/>
    <mergeCell ref="D19:G19"/>
    <mergeCell ref="F9:N9"/>
    <mergeCell ref="L30:M30"/>
    <mergeCell ref="G33:H33"/>
    <mergeCell ref="H19:I19"/>
    <mergeCell ref="C40:F40"/>
    <mergeCell ref="N34:R34"/>
    <mergeCell ref="I27:K27"/>
    <mergeCell ref="N36:R36"/>
    <mergeCell ref="F7:N7"/>
    <mergeCell ref="H20:L20"/>
    <mergeCell ref="L32:M32"/>
    <mergeCell ref="G42:H42"/>
    <mergeCell ref="D17:L17"/>
    <mergeCell ref="D15:G15"/>
    <mergeCell ref="N37:R37"/>
    <mergeCell ref="G39:H39"/>
    <mergeCell ref="L43:M43"/>
    <mergeCell ref="C34:F34"/>
    <mergeCell ref="I39:K39"/>
    <mergeCell ref="G37:H37"/>
    <mergeCell ref="L33:M33"/>
    <mergeCell ref="I29:K29"/>
    <mergeCell ref="I38:K38"/>
    <mergeCell ref="L35:M35"/>
    <mergeCell ref="F2:N3"/>
    <mergeCell ref="R2:T2"/>
    <mergeCell ref="D14:L14"/>
    <mergeCell ref="I31:K31"/>
    <mergeCell ref="C29:F29"/>
    <mergeCell ref="I40:K40"/>
    <mergeCell ref="F11:N11"/>
    <mergeCell ref="C31:F31"/>
    <mergeCell ref="G32:H32"/>
    <mergeCell ref="H15:L15"/>
    <mergeCell ref="J19:L19"/>
    <mergeCell ref="G41:H41"/>
    <mergeCell ref="H18:L18"/>
    <mergeCell ref="C35:K35"/>
    <mergeCell ref="N27:R27"/>
    <mergeCell ref="I41:K41"/>
    <mergeCell ref="N35:R35"/>
    <mergeCell ref="G27:H27"/>
    <mergeCell ref="C38:F38"/>
    <mergeCell ref="L37:M37"/>
    <mergeCell ref="I33:K33"/>
    <mergeCell ref="I42:K42"/>
    <mergeCell ref="C33:F33"/>
    <mergeCell ref="C42:F42"/>
    <mergeCell ref="N39:R39"/>
    <mergeCell ref="E5:N5"/>
    <mergeCell ref="G30:H30"/>
    <mergeCell ref="N29:R29"/>
    <mergeCell ref="N38:R38"/>
    <mergeCell ref="M20:P20"/>
    <mergeCell ref="L41:M41"/>
    <mergeCell ref="L36:M36"/>
    <mergeCell ref="I30:K30"/>
    <mergeCell ref="N31:R31"/>
    <mergeCell ref="G29:H29"/>
    <mergeCell ref="N40:R40"/>
    <mergeCell ref="L34:M34"/>
    <mergeCell ref="G31:H31"/>
    <mergeCell ref="L27:M27"/>
    <mergeCell ref="M15:P15"/>
    <mergeCell ref="G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B1:D39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14" customWidth="1" style="192" min="2" max="2"/>
    <col width="52" customWidth="1" style="192" min="3" max="3"/>
    <col width="18" customWidth="1" style="192" min="4" max="4"/>
  </cols>
  <sheetData>
    <row r="1" ht="18" customHeight="1" s="192">
      <c r="B1" s="98" t="inlineStr">
        <is>
          <t>115200</t>
        </is>
      </c>
      <c r="D1" s="94" t="n"/>
    </row>
    <row r="2" ht="18" customHeight="1" s="192">
      <c r="B2" s="98" t="inlineStr">
        <is>
          <t>RET Escrow</t>
        </is>
      </c>
      <c r="D2" s="94" t="n"/>
    </row>
    <row r="3">
      <c r="B3" s="138" t="inlineStr">
        <is>
          <t>revlabs  |  Period: Jan-2026  |  Prepared: 05/12/2026</t>
        </is>
      </c>
      <c r="D3" s="94" t="n"/>
    </row>
    <row r="5" ht="18" customHeight="1" s="192">
      <c r="B5" s="1" t="inlineStr">
        <is>
          <t>Date</t>
        </is>
      </c>
      <c r="C5" s="1" t="inlineStr">
        <is>
          <t>Description</t>
        </is>
      </c>
      <c r="D5" s="1" t="inlineStr">
        <is>
          <t>Amount</t>
        </is>
      </c>
    </row>
    <row r="6">
      <c r="C6" s="63" t="inlineStr">
        <is>
          <t>Balance Forward</t>
        </is>
      </c>
      <c r="D6" s="61" t="n"/>
    </row>
    <row r="7">
      <c r="B7" s="122" t="inlineStr">
        <is>
          <t>03/25/2024</t>
        </is>
      </c>
      <c r="C7" s="127" t="inlineStr">
        <is>
          <t>RET Escrow - Per statement due 4.10.24</t>
        </is>
      </c>
      <c r="D7" s="4" t="n">
        <v>232339</v>
      </c>
    </row>
    <row r="8">
      <c r="B8" s="123" t="inlineStr">
        <is>
          <t>05/24/2024</t>
        </is>
      </c>
      <c r="C8" s="6" t="inlineStr">
        <is>
          <t>RET Escrow - Per statement due 5.10.24</t>
        </is>
      </c>
      <c r="D8" s="7" t="n">
        <v>232339</v>
      </c>
    </row>
    <row r="9">
      <c r="B9" s="122" t="inlineStr">
        <is>
          <t>06/25/2024</t>
        </is>
      </c>
      <c r="C9" s="127" t="inlineStr">
        <is>
          <t>RET Escrow - Per statement due 6.10.24</t>
        </is>
      </c>
      <c r="D9" s="4" t="n">
        <v>232339</v>
      </c>
    </row>
    <row r="10">
      <c r="B10" s="123" t="inlineStr">
        <is>
          <t>07/25/2024</t>
        </is>
      </c>
      <c r="C10" s="6" t="inlineStr">
        <is>
          <t>RET Escrow - Per statement due 7.10.24</t>
        </is>
      </c>
      <c r="D10" s="7" t="n">
        <v>232339</v>
      </c>
    </row>
    <row r="11">
      <c r="B11" s="122" t="inlineStr">
        <is>
          <t>07/25/2024</t>
        </is>
      </c>
      <c r="C11" s="14" t="inlineStr">
        <is>
          <t>RET ESCROW Payment 8.1.24-2024</t>
        </is>
      </c>
      <c r="D11" s="15" t="n">
        <v>-680420.84</v>
      </c>
    </row>
    <row r="12">
      <c r="B12" s="123" t="inlineStr">
        <is>
          <t>08/25/2024</t>
        </is>
      </c>
      <c r="C12" s="6" t="inlineStr">
        <is>
          <t>RET Escrow - Per statement due 8.10.24</t>
        </is>
      </c>
      <c r="D12" s="7" t="n">
        <v>232339</v>
      </c>
    </row>
    <row r="13">
      <c r="B13" s="122" t="inlineStr">
        <is>
          <t>09/09/2024</t>
        </is>
      </c>
      <c r="C13" s="127" t="inlineStr">
        <is>
          <t>RET Escrow - Per statement due 09.09.24</t>
        </is>
      </c>
      <c r="D13" s="4" t="n">
        <v>216069.98</v>
      </c>
    </row>
    <row r="14">
      <c r="B14" s="123" t="inlineStr">
        <is>
          <t>10/07/2024</t>
        </is>
      </c>
      <c r="C14" s="6" t="inlineStr">
        <is>
          <t>RET Escrow - Per statement due 10.07.24</t>
        </is>
      </c>
      <c r="D14" s="7" t="n">
        <v>216069.98</v>
      </c>
    </row>
    <row r="15">
      <c r="B15" s="122" t="inlineStr">
        <is>
          <t>10/17/2024</t>
        </is>
      </c>
      <c r="C15" s="14" t="inlineStr">
        <is>
          <t>RET ESCROW Payment 10.1.24-2024</t>
        </is>
      </c>
      <c r="D15" s="15" t="n">
        <v>-680420.84</v>
      </c>
    </row>
    <row r="16">
      <c r="B16" s="123" t="inlineStr">
        <is>
          <t>11/07/2024</t>
        </is>
      </c>
      <c r="C16" s="6" t="inlineStr">
        <is>
          <t>RET Escrow - Per statement due 11.07.24</t>
        </is>
      </c>
      <c r="D16" s="7" t="n">
        <v>216069.98</v>
      </c>
    </row>
    <row r="17">
      <c r="B17" s="122" t="inlineStr">
        <is>
          <t>12/09/2024</t>
        </is>
      </c>
      <c r="C17" s="127" t="inlineStr">
        <is>
          <t>RET Escrow - Per statement due 12.09.24</t>
        </is>
      </c>
      <c r="D17" s="4" t="n">
        <v>216069.98</v>
      </c>
    </row>
    <row r="18">
      <c r="B18" s="123" t="inlineStr">
        <is>
          <t>01/07/2025</t>
        </is>
      </c>
      <c r="C18" s="6" t="inlineStr">
        <is>
          <t>RET Escrow - Per statement due 01.07.25</t>
        </is>
      </c>
      <c r="D18" s="7" t="n">
        <v>216069.98</v>
      </c>
    </row>
    <row r="19">
      <c r="B19" s="122" t="inlineStr">
        <is>
          <t>01/16/2025</t>
        </is>
      </c>
      <c r="C19" s="14" t="inlineStr">
        <is>
          <t>RET ESCROW Payment 01.1.25-Q3-2025</t>
        </is>
      </c>
      <c r="D19" s="15" t="n">
        <v>-651630.6899999999</v>
      </c>
    </row>
    <row r="20">
      <c r="B20" s="123" t="inlineStr">
        <is>
          <t>02/07/2025</t>
        </is>
      </c>
      <c r="C20" s="6" t="inlineStr">
        <is>
          <t>RET Escrow - Per statement due 02.07.25</t>
        </is>
      </c>
      <c r="D20" s="7" t="n">
        <v>216069.98</v>
      </c>
    </row>
    <row r="21">
      <c r="B21" s="122" t="inlineStr">
        <is>
          <t>03/07/2025</t>
        </is>
      </c>
      <c r="C21" s="127" t="inlineStr">
        <is>
          <t>RET Escrow - Per statement due 03.07.25</t>
        </is>
      </c>
      <c r="D21" s="4" t="n">
        <v>216069.98</v>
      </c>
    </row>
    <row r="22">
      <c r="B22" s="123" t="inlineStr">
        <is>
          <t>04/07/2025</t>
        </is>
      </c>
      <c r="C22" s="6" t="inlineStr">
        <is>
          <t>RET Escrow - Per statement due 04.07.25</t>
        </is>
      </c>
      <c r="D22" s="7" t="n">
        <v>216069.98</v>
      </c>
    </row>
    <row r="23">
      <c r="B23" s="122" t="inlineStr">
        <is>
          <t>04/16/2025</t>
        </is>
      </c>
      <c r="C23" s="14" t="inlineStr">
        <is>
          <t>RET ESCROW Payment 01.1.25-Q4-2025</t>
        </is>
      </c>
      <c r="D23" s="15" t="n">
        <v>-651630.6899999999</v>
      </c>
    </row>
    <row r="24">
      <c r="B24" s="123" t="inlineStr">
        <is>
          <t>05/09/2025</t>
        </is>
      </c>
      <c r="C24" s="6" t="inlineStr">
        <is>
          <t>RET Escrow - Per statement due 05.09.25</t>
        </is>
      </c>
      <c r="D24" s="7" t="n">
        <v>216069.98</v>
      </c>
    </row>
    <row r="25">
      <c r="B25" s="122" t="inlineStr">
        <is>
          <t>06/09/2025</t>
        </is>
      </c>
      <c r="C25" s="127" t="inlineStr">
        <is>
          <t>RET Escrow - Per statement due 06.09.25</t>
        </is>
      </c>
      <c r="D25" s="4" t="n">
        <v>216069.98</v>
      </c>
    </row>
    <row r="26">
      <c r="B26" s="123" t="inlineStr">
        <is>
          <t>07/09/2025</t>
        </is>
      </c>
      <c r="C26" s="6" t="inlineStr">
        <is>
          <t>RET Escrow - Per statement due 07.09.25</t>
        </is>
      </c>
      <c r="D26" s="7" t="n">
        <v>216069.98</v>
      </c>
    </row>
    <row r="27">
      <c r="B27" s="122" t="inlineStr">
        <is>
          <t>07/17/2025</t>
        </is>
      </c>
      <c r="C27" s="14" t="inlineStr">
        <is>
          <t>RET ESCROW Payment 01.1.25-Q1-2025</t>
        </is>
      </c>
      <c r="D27" s="15" t="n">
        <v>-682671.08</v>
      </c>
    </row>
    <row r="28">
      <c r="B28" s="123" t="inlineStr">
        <is>
          <t>08/07/2025</t>
        </is>
      </c>
      <c r="C28" s="6" t="inlineStr">
        <is>
          <t>RET Escrow - Per statement due 08.07.25</t>
        </is>
      </c>
      <c r="D28" s="7" t="n">
        <v>216069.98</v>
      </c>
    </row>
    <row r="29">
      <c r="B29" s="122" t="inlineStr">
        <is>
          <t>09/08/2025</t>
        </is>
      </c>
      <c r="C29" s="127" t="inlineStr">
        <is>
          <t>RET Escrow - Per statement due 09.07.25</t>
        </is>
      </c>
      <c r="D29" s="4" t="n">
        <v>216069.98</v>
      </c>
    </row>
    <row r="30">
      <c r="B30" s="123" t="inlineStr">
        <is>
          <t>10/07/2025</t>
        </is>
      </c>
      <c r="C30" s="6" t="inlineStr">
        <is>
          <t>RET Escrow - Per statement due 10.07.25</t>
        </is>
      </c>
      <c r="D30" s="7" t="n">
        <v>216069.98</v>
      </c>
    </row>
    <row r="31">
      <c r="B31" s="122" t="inlineStr">
        <is>
          <t>10/17/2025</t>
        </is>
      </c>
      <c r="C31" s="14" t="inlineStr">
        <is>
          <t>RET ESCROW Payment 10.1.25-Q2-2025</t>
        </is>
      </c>
      <c r="D31" s="15" t="n">
        <v>-682671.0699999999</v>
      </c>
    </row>
    <row r="32">
      <c r="B32" s="123" t="inlineStr">
        <is>
          <t>11/07/2025</t>
        </is>
      </c>
      <c r="C32" s="6" t="inlineStr">
        <is>
          <t>RET Escrow - Per statement due 11.07.25</t>
        </is>
      </c>
      <c r="D32" s="7" t="n">
        <v>216069.98</v>
      </c>
    </row>
    <row r="33">
      <c r="B33" s="122" t="inlineStr">
        <is>
          <t>12/08/2025</t>
        </is>
      </c>
      <c r="C33" s="127" t="inlineStr">
        <is>
          <t>RET Escrow - Per statement due 12.08.25</t>
        </is>
      </c>
      <c r="D33" s="4" t="n">
        <v>203295.19</v>
      </c>
    </row>
    <row r="34">
      <c r="B34" s="123" t="inlineStr">
        <is>
          <t>01/07/2026</t>
        </is>
      </c>
      <c r="C34" s="6" t="inlineStr">
        <is>
          <t>01.07.26 Mortgage Wire</t>
        </is>
      </c>
      <c r="D34" s="7" t="n">
        <v>203295.19</v>
      </c>
    </row>
    <row r="35">
      <c r="B35" s="122" t="inlineStr">
        <is>
          <t>01/16/2026</t>
        </is>
      </c>
      <c r="C35" s="14" t="inlineStr">
        <is>
          <t>RET ESCROW Payment 10.1.25-Q2-2025</t>
        </is>
      </c>
      <c r="D35" s="15" t="n">
        <v>-498750.81</v>
      </c>
    </row>
    <row r="36" ht="15" customHeight="1" s="192" thickBot="1"/>
    <row r="37">
      <c r="B37" s="89" t="inlineStr">
        <is>
          <t>Ending Balance per GL</t>
        </is>
      </c>
      <c r="C37" s="254" t="n"/>
      <c r="D37" s="91">
        <f>SUM(D7:D35)</f>
        <v/>
      </c>
    </row>
    <row r="38">
      <c r="B38" s="255" t="inlineStr">
        <is>
          <t>Ending Balance per TB</t>
        </is>
      </c>
      <c r="C38" s="61" t="n"/>
      <c r="D38" s="88">
        <f>VLOOKUP(B1,'Trial Balance'!$A:$F,6,0)</f>
        <v/>
      </c>
    </row>
    <row r="39">
      <c r="B39" s="86" t="inlineStr">
        <is>
          <t>Variance</t>
        </is>
      </c>
      <c r="C39" s="256" t="n"/>
      <c r="D39" s="97">
        <f>D37-D38</f>
        <v/>
      </c>
    </row>
  </sheetData>
  <mergeCells count="7">
    <mergeCell ref="B39:C39"/>
    <mergeCell ref="B38:C38"/>
    <mergeCell ref="B2:C2"/>
    <mergeCell ref="C6:D6"/>
    <mergeCell ref="B3:C3"/>
    <mergeCell ref="B37:C37"/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/>
  </sheetPr>
  <dimension ref="B1:D31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14" customWidth="1" style="192" min="2" max="2"/>
    <col width="52" customWidth="1" style="192" min="3" max="3"/>
    <col width="18" customWidth="1" style="192" min="4" max="4"/>
  </cols>
  <sheetData>
    <row r="1" ht="18" customHeight="1" s="192">
      <c r="B1" s="98" t="inlineStr">
        <is>
          <t>115300</t>
        </is>
      </c>
      <c r="D1" s="94" t="n"/>
    </row>
    <row r="2" ht="18" customHeight="1" s="192">
      <c r="B2" s="98" t="inlineStr">
        <is>
          <t>Insurance Escrow</t>
        </is>
      </c>
      <c r="D2" s="94" t="n"/>
    </row>
    <row r="3">
      <c r="B3" s="138" t="inlineStr">
        <is>
          <t>revlabs  |  Period: Jan-2026  |  Prepared: 05/12/2026</t>
        </is>
      </c>
      <c r="D3" s="94" t="n"/>
    </row>
    <row r="5" ht="18" customHeight="1" s="192">
      <c r="B5" s="1" t="inlineStr">
        <is>
          <t>Date</t>
        </is>
      </c>
      <c r="C5" s="1" t="inlineStr">
        <is>
          <t>Description</t>
        </is>
      </c>
      <c r="D5" s="1" t="inlineStr">
        <is>
          <t>Amount</t>
        </is>
      </c>
    </row>
    <row r="6">
      <c r="C6" s="63" t="inlineStr">
        <is>
          <t>Balance Forward</t>
        </is>
      </c>
      <c r="D6" s="61" t="n"/>
    </row>
    <row r="7">
      <c r="B7" s="122" t="inlineStr">
        <is>
          <t>04/25/2024</t>
        </is>
      </c>
      <c r="C7" s="127" t="inlineStr">
        <is>
          <t>Property Insurance per 4.10.24 stmt due</t>
        </is>
      </c>
      <c r="D7" s="4" t="n">
        <v>23431</v>
      </c>
    </row>
    <row r="8">
      <c r="B8" s="123" t="inlineStr">
        <is>
          <t>05/25/2024</t>
        </is>
      </c>
      <c r="C8" s="6" t="inlineStr">
        <is>
          <t>Property Insurance per 5.10.24 stmt due</t>
        </is>
      </c>
      <c r="D8" s="7" t="n">
        <v>23431</v>
      </c>
    </row>
    <row r="9">
      <c r="B9" s="122" t="inlineStr">
        <is>
          <t>06/25/2024</t>
        </is>
      </c>
      <c r="C9" s="127" t="inlineStr">
        <is>
          <t>Property Insurance per 6.10.24 stmt due</t>
        </is>
      </c>
      <c r="D9" s="4" t="n">
        <v>23431</v>
      </c>
    </row>
    <row r="10">
      <c r="B10" s="123" t="inlineStr">
        <is>
          <t>07/25/2024</t>
        </is>
      </c>
      <c r="C10" s="6" t="inlineStr">
        <is>
          <t>Property Insurance per 7.10.24 stmt due</t>
        </is>
      </c>
      <c r="D10" s="7" t="n">
        <v>23431</v>
      </c>
    </row>
    <row r="11">
      <c r="B11" s="122" t="inlineStr">
        <is>
          <t>08/25/2024</t>
        </is>
      </c>
      <c r="C11" s="127" t="inlineStr">
        <is>
          <t>Property Insurance per 8.10.24 stmt due</t>
        </is>
      </c>
      <c r="D11" s="4" t="n">
        <v>23431</v>
      </c>
    </row>
    <row r="12">
      <c r="B12" s="123" t="inlineStr">
        <is>
          <t>09/09/2024</t>
        </is>
      </c>
      <c r="C12" s="6" t="inlineStr">
        <is>
          <t>Property Insurance per 9.09.24 stmt due</t>
        </is>
      </c>
      <c r="D12" s="7" t="n">
        <v>19280.11</v>
      </c>
    </row>
    <row r="13">
      <c r="B13" s="122" t="inlineStr">
        <is>
          <t>10/07/2024</t>
        </is>
      </c>
      <c r="C13" s="127" t="inlineStr">
        <is>
          <t>Property Insurance per 10.07.24 stmt due</t>
        </is>
      </c>
      <c r="D13" s="4" t="n">
        <v>19280.11</v>
      </c>
    </row>
    <row r="14">
      <c r="B14" s="123" t="inlineStr">
        <is>
          <t>11/07/2024</t>
        </is>
      </c>
      <c r="C14" s="6" t="inlineStr">
        <is>
          <t>Property Insurance per 11.07.24 stmt due</t>
        </is>
      </c>
      <c r="D14" s="7" t="n">
        <v>19280.11</v>
      </c>
    </row>
    <row r="15">
      <c r="B15" s="122" t="inlineStr">
        <is>
          <t>12/09/2024</t>
        </is>
      </c>
      <c r="C15" s="127" t="inlineStr">
        <is>
          <t>Property Insurance per 12.09.24 stmt due</t>
        </is>
      </c>
      <c r="D15" s="4" t="n">
        <v>19280.11</v>
      </c>
    </row>
    <row r="16">
      <c r="B16" s="123" t="inlineStr">
        <is>
          <t>01/07/2025</t>
        </is>
      </c>
      <c r="C16" s="6" t="inlineStr">
        <is>
          <t>Property Insurance per 01.07.25 stmt due</t>
        </is>
      </c>
      <c r="D16" s="7" t="n">
        <v>19280.11</v>
      </c>
    </row>
    <row r="17">
      <c r="B17" s="122" t="inlineStr">
        <is>
          <t>02/07/2025</t>
        </is>
      </c>
      <c r="C17" s="127" t="inlineStr">
        <is>
          <t>Property Insurance per 02.07.25 stmt due</t>
        </is>
      </c>
      <c r="D17" s="4" t="n">
        <v>19280.11</v>
      </c>
    </row>
    <row r="18">
      <c r="B18" s="123" t="inlineStr">
        <is>
          <t>03/07/2025</t>
        </is>
      </c>
      <c r="C18" s="6" t="inlineStr">
        <is>
          <t>Property Insurance per 03.07.25 stmt due</t>
        </is>
      </c>
      <c r="D18" s="7" t="n">
        <v>19280.11</v>
      </c>
    </row>
    <row r="19">
      <c r="B19" s="122" t="inlineStr">
        <is>
          <t>04/07/2025</t>
        </is>
      </c>
      <c r="C19" s="127" t="inlineStr">
        <is>
          <t>Property Insurance per 04.07.25 stmt due</t>
        </is>
      </c>
      <c r="D19" s="4" t="n">
        <v>19280.11</v>
      </c>
    </row>
    <row r="20">
      <c r="B20" s="123" t="inlineStr">
        <is>
          <t>05/09/2025</t>
        </is>
      </c>
      <c r="C20" s="6" t="inlineStr">
        <is>
          <t>Property Insurance per 05.09.25 stmt due</t>
        </is>
      </c>
      <c r="D20" s="7" t="n">
        <v>19280.11</v>
      </c>
    </row>
    <row r="21">
      <c r="B21" s="122" t="inlineStr">
        <is>
          <t>06/09/2025</t>
        </is>
      </c>
      <c r="C21" s="127" t="inlineStr">
        <is>
          <t>Property Insurance per 06.09.25 stmt due</t>
        </is>
      </c>
      <c r="D21" s="4" t="n">
        <v>19280.11</v>
      </c>
    </row>
    <row r="22">
      <c r="B22" s="123" t="inlineStr">
        <is>
          <t>07/07/2025</t>
        </is>
      </c>
      <c r="C22" s="6" t="inlineStr">
        <is>
          <t>Property Insurance per 07.09.25 stmt due</t>
        </is>
      </c>
      <c r="D22" s="7" t="n">
        <v>19280.11</v>
      </c>
    </row>
    <row r="23">
      <c r="B23" s="122" t="inlineStr">
        <is>
          <t>08/07/2025</t>
        </is>
      </c>
      <c r="C23" s="127" t="inlineStr">
        <is>
          <t>Property Insurance per 08.09.25 stmt due</t>
        </is>
      </c>
      <c r="D23" s="4" t="n">
        <v>19280.11</v>
      </c>
    </row>
    <row r="24">
      <c r="B24" s="123" t="inlineStr">
        <is>
          <t>08/15/2025</t>
        </is>
      </c>
      <c r="C24" s="16" t="inlineStr">
        <is>
          <t>Property Insurance transfer to revlab owner Operator</t>
        </is>
      </c>
      <c r="D24" s="17" t="n">
        <v>-66912.85000000001</v>
      </c>
    </row>
    <row r="25">
      <c r="B25" s="122" t="inlineStr">
        <is>
          <t>09/08/2025</t>
        </is>
      </c>
      <c r="C25" s="127" t="inlineStr">
        <is>
          <t>Property Insurance per 09.08.25 stmt due</t>
        </is>
      </c>
      <c r="D25" s="4" t="n">
        <v>19280.11</v>
      </c>
    </row>
    <row r="26">
      <c r="B26" s="123" t="inlineStr">
        <is>
          <t>10/07/2025</t>
        </is>
      </c>
      <c r="C26" s="6" t="inlineStr">
        <is>
          <t>Property Insurance per 10.08.25 stmt due</t>
        </is>
      </c>
      <c r="D26" s="7" t="n">
        <v>19280.11</v>
      </c>
    </row>
    <row r="27">
      <c r="B27" s="122" t="inlineStr">
        <is>
          <t>11/07/2025</t>
        </is>
      </c>
      <c r="C27" s="127" t="inlineStr">
        <is>
          <t>Property Insurance per 11.08.25 stmt due</t>
        </is>
      </c>
      <c r="D27" s="4" t="n">
        <v>19280.11</v>
      </c>
    </row>
    <row r="28" ht="15" customHeight="1" s="192" thickBot="1"/>
    <row r="29">
      <c r="B29" s="89" t="inlineStr">
        <is>
          <t>Ending Balance per GL</t>
        </is>
      </c>
      <c r="C29" s="254" t="n"/>
      <c r="D29" s="91">
        <f>SUM(D7:D27)</f>
        <v/>
      </c>
    </row>
    <row r="30">
      <c r="B30" s="255" t="inlineStr">
        <is>
          <t>Ending Balance per TB</t>
        </is>
      </c>
      <c r="C30" s="61" t="n"/>
      <c r="D30" s="88">
        <f>VLOOKUP(B1,'Trial Balance'!$A:$F,6,0)</f>
        <v/>
      </c>
    </row>
    <row r="31">
      <c r="B31" s="86" t="inlineStr">
        <is>
          <t>Variance</t>
        </is>
      </c>
      <c r="C31" s="256" t="n"/>
      <c r="D31" s="97">
        <f>D29-D30</f>
        <v/>
      </c>
    </row>
  </sheetData>
  <mergeCells count="7">
    <mergeCell ref="B30:C30"/>
    <mergeCell ref="B2:C2"/>
    <mergeCell ref="C6:D6"/>
    <mergeCell ref="B29:C29"/>
    <mergeCell ref="B3:C3"/>
    <mergeCell ref="B31:C31"/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B1:D22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14" customWidth="1" style="192" min="2" max="2"/>
    <col width="52" customWidth="1" style="192" min="3" max="3"/>
    <col width="18" customWidth="1" style="192" min="4" max="4"/>
  </cols>
  <sheetData>
    <row r="1" ht="18" customHeight="1" s="192">
      <c r="B1" s="98" t="inlineStr">
        <is>
          <t>115600</t>
        </is>
      </c>
      <c r="D1" s="94" t="n"/>
    </row>
    <row r="2" ht="18" customHeight="1" s="192">
      <c r="B2" s="98" t="inlineStr">
        <is>
          <t>Loan Reserve</t>
        </is>
      </c>
      <c r="D2" s="94" t="n"/>
    </row>
    <row r="3">
      <c r="B3" s="138" t="inlineStr">
        <is>
          <t>revlabs  |  Period: Jan-2026  |  Prepared: 05/12/2026</t>
        </is>
      </c>
      <c r="D3" s="94" t="n"/>
    </row>
    <row r="5" ht="18" customHeight="1" s="192">
      <c r="B5" s="1" t="inlineStr">
        <is>
          <t>Date</t>
        </is>
      </c>
      <c r="C5" s="1" t="inlineStr">
        <is>
          <t>Description</t>
        </is>
      </c>
      <c r="D5" s="1" t="inlineStr">
        <is>
          <t>Amount</t>
        </is>
      </c>
    </row>
    <row r="6">
      <c r="C6" s="63" t="inlineStr">
        <is>
          <t>Balance Forward</t>
        </is>
      </c>
      <c r="D6" s="61" t="n"/>
    </row>
    <row r="7">
      <c r="B7" s="122" t="inlineStr">
        <is>
          <t>03/25/2025</t>
        </is>
      </c>
      <c r="C7" s="127" t="inlineStr">
        <is>
          <t>Rcd: Alchemab Lease Settlement Payment</t>
        </is>
      </c>
      <c r="D7" s="4" t="n">
        <v>4733004.36</v>
      </c>
    </row>
    <row r="8">
      <c r="B8" s="123" t="inlineStr">
        <is>
          <t>03/25/2025</t>
        </is>
      </c>
      <c r="C8" s="6" t="inlineStr">
        <is>
          <t>Rcd: 2/25 - 3/25 Interest Income</t>
        </is>
      </c>
      <c r="D8" s="7" t="n">
        <v>350.08</v>
      </c>
    </row>
    <row r="9">
      <c r="B9" s="122" t="inlineStr">
        <is>
          <t>04/25/2025</t>
        </is>
      </c>
      <c r="C9" s="127" t="inlineStr">
        <is>
          <t>Rcd: 04/25 Interest Income</t>
        </is>
      </c>
      <c r="D9" s="4" t="n">
        <v>265.48</v>
      </c>
    </row>
    <row r="10">
      <c r="B10" s="123" t="inlineStr">
        <is>
          <t>05/25/2025</t>
        </is>
      </c>
      <c r="C10" s="6" t="inlineStr">
        <is>
          <t>Rcd: 05/25 Interest Income</t>
        </is>
      </c>
      <c r="D10" s="7" t="n">
        <v>256.43</v>
      </c>
    </row>
    <row r="11">
      <c r="B11" s="122" t="inlineStr">
        <is>
          <t>06/25/2025</t>
        </is>
      </c>
      <c r="C11" s="127" t="inlineStr">
        <is>
          <t>Rcd: 06/25 Interest Income</t>
        </is>
      </c>
      <c r="D11" s="4" t="n">
        <v>238.29</v>
      </c>
    </row>
    <row r="12">
      <c r="B12" s="123" t="inlineStr">
        <is>
          <t>07/25/2025</t>
        </is>
      </c>
      <c r="C12" s="6" t="inlineStr">
        <is>
          <t>Rcd: 07/25 Interest Income</t>
        </is>
      </c>
      <c r="D12" s="7" t="n">
        <v>274.62</v>
      </c>
    </row>
    <row r="13">
      <c r="B13" s="122" t="inlineStr">
        <is>
          <t>08/25/2025</t>
        </is>
      </c>
      <c r="C13" s="127" t="inlineStr">
        <is>
          <t>Rcd: 08/25 Interest Income</t>
        </is>
      </c>
      <c r="D13" s="4" t="n">
        <v>238.31</v>
      </c>
    </row>
    <row r="14">
      <c r="B14" s="123" t="inlineStr">
        <is>
          <t>09/25/2025</t>
        </is>
      </c>
      <c r="C14" s="6" t="inlineStr">
        <is>
          <t>Rcd: 09/25 Interest Income</t>
        </is>
      </c>
      <c r="D14" s="7" t="n">
        <v>256.49</v>
      </c>
    </row>
    <row r="15">
      <c r="B15" s="122" t="inlineStr">
        <is>
          <t>10/25/2025</t>
        </is>
      </c>
      <c r="C15" s="127" t="inlineStr">
        <is>
          <t>Rcd: 10/25 Interest Income</t>
        </is>
      </c>
      <c r="D15" s="4" t="n">
        <v>256.5</v>
      </c>
    </row>
    <row r="16">
      <c r="B16" s="123" t="inlineStr">
        <is>
          <t>11/25/2025</t>
        </is>
      </c>
      <c r="C16" s="6" t="inlineStr">
        <is>
          <t>Rcd: 11/25 Interest Income</t>
        </is>
      </c>
      <c r="D16" s="7" t="n">
        <v>220.19</v>
      </c>
    </row>
    <row r="17">
      <c r="B17" s="122" t="inlineStr">
        <is>
          <t>12/25/2025</t>
        </is>
      </c>
      <c r="C17" s="127" t="inlineStr">
        <is>
          <t>Rcd: 12/25 Interest Income</t>
        </is>
      </c>
      <c r="D17" s="4" t="n">
        <v>283.78</v>
      </c>
    </row>
    <row r="18">
      <c r="B18" s="123" t="inlineStr">
        <is>
          <t>01/25/2026</t>
        </is>
      </c>
      <c r="C18" s="6" t="inlineStr">
        <is>
          <t>Rcd: 01/26 Interest Income</t>
        </is>
      </c>
      <c r="D18" s="7" t="n">
        <v>247.46</v>
      </c>
    </row>
    <row r="19" ht="15" customHeight="1" s="192" thickBot="1">
      <c r="D19" s="80" t="n"/>
    </row>
    <row r="20">
      <c r="B20" s="89" t="inlineStr">
        <is>
          <t>Ending Balance per GL</t>
        </is>
      </c>
      <c r="C20" s="254" t="n"/>
      <c r="D20" s="91">
        <f>SUM(D7:D18)</f>
        <v/>
      </c>
    </row>
    <row r="21">
      <c r="B21" s="255" t="inlineStr">
        <is>
          <t>Ending Balance per TB</t>
        </is>
      </c>
      <c r="C21" s="61" t="n"/>
      <c r="D21" s="88">
        <f>VLOOKUP(B1,'Trial Balance'!$A:$F,6,0)</f>
        <v/>
      </c>
    </row>
    <row r="22">
      <c r="B22" s="86" t="inlineStr">
        <is>
          <t>Variance</t>
        </is>
      </c>
      <c r="C22" s="256" t="n"/>
      <c r="D22" s="97">
        <f>D20-D21</f>
        <v/>
      </c>
    </row>
  </sheetData>
  <mergeCells count="7">
    <mergeCell ref="B21:C21"/>
    <mergeCell ref="B2:C2"/>
    <mergeCell ref="C6:D6"/>
    <mergeCell ref="B3:C3"/>
    <mergeCell ref="B20:C20"/>
    <mergeCell ref="B22:C22"/>
    <mergeCell ref="B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O36"/>
  <sheetViews>
    <sheetView workbookViewId="0">
      <selection activeCell="A1" sqref="A1:O1"/>
    </sheetView>
  </sheetViews>
  <sheetFormatPr baseColWidth="8" defaultRowHeight="14.4"/>
  <cols>
    <col width="10.109375" bestFit="1" customWidth="1" style="192" min="1" max="1"/>
    <col width="8.5546875" bestFit="1" customWidth="1" style="192" min="2" max="2"/>
    <col width="20.77734375" bestFit="1" customWidth="1" style="192" min="3" max="3"/>
    <col width="6.109375" bestFit="1" customWidth="1" style="192" min="4" max="4"/>
    <col width="5.77734375" bestFit="1" customWidth="1" style="192" min="5" max="5"/>
    <col width="6.5546875" bestFit="1" customWidth="1" style="192" min="6" max="6"/>
    <col width="7.88671875" bestFit="1" customWidth="1" style="192" min="7" max="7"/>
    <col width="6.5546875" bestFit="1" customWidth="1" style="192" min="8" max="8"/>
    <col width="8.5546875" bestFit="1" customWidth="1" style="192" min="9" max="10"/>
    <col width="5.5546875" bestFit="1" customWidth="1" style="192" min="11" max="12"/>
    <col width="7.6640625" bestFit="1" customWidth="1" style="192" min="13" max="13"/>
    <col width="10.21875" bestFit="1" customWidth="1" style="192" min="14" max="14"/>
    <col width="10.21875" customWidth="1" style="192" min="15" max="15"/>
  </cols>
  <sheetData>
    <row r="1" ht="15" customHeight="1" s="192">
      <c r="A1" s="70" t="inlineStr">
        <is>
          <t>Aging Detail</t>
        </is>
      </c>
    </row>
    <row r="2">
      <c r="A2" s="66" t="inlineStr">
        <is>
          <t xml:space="preserve">DB Caption: testgl 04/10/2026   Property: revlabpm    Status: Current, Past, Future   Age As Of: 01/31/2026  Post To: 01/2026  </t>
        </is>
      </c>
    </row>
    <row r="3">
      <c r="A3" s="18" t="inlineStr">
        <is>
          <t>Property</t>
        </is>
      </c>
      <c r="B3" s="18" t="inlineStr">
        <is>
          <t>Customer</t>
        </is>
      </c>
      <c r="C3" s="18" t="inlineStr">
        <is>
          <t>Lease</t>
        </is>
      </c>
      <c r="D3" s="18" t="inlineStr">
        <is>
          <t>Status</t>
        </is>
      </c>
      <c r="E3" s="18" t="inlineStr">
        <is>
          <t>Tran#</t>
        </is>
      </c>
      <c r="F3" s="18" t="inlineStr">
        <is>
          <t>Charge</t>
        </is>
      </c>
      <c r="G3" s="18" t="inlineStr">
        <is>
          <t>Date</t>
        </is>
      </c>
      <c r="H3" s="18" t="inlineStr">
        <is>
          <t>Month</t>
        </is>
      </c>
      <c r="I3" s="19" t="inlineStr">
        <is>
          <t>Current</t>
        </is>
      </c>
      <c r="J3" s="19" t="inlineStr">
        <is>
          <t>0-30</t>
        </is>
      </c>
      <c r="K3" s="19" t="inlineStr">
        <is>
          <t>31-60</t>
        </is>
      </c>
      <c r="L3" s="19" t="inlineStr">
        <is>
          <t>61-90</t>
        </is>
      </c>
      <c r="M3" s="19" t="inlineStr">
        <is>
          <t>Over</t>
        </is>
      </c>
      <c r="N3" s="19" t="inlineStr">
        <is>
          <t>Pre-</t>
        </is>
      </c>
      <c r="O3" s="19" t="inlineStr">
        <is>
          <t>Total</t>
        </is>
      </c>
    </row>
    <row r="4">
      <c r="A4" s="20" t="n"/>
      <c r="B4" s="20" t="n"/>
      <c r="C4" s="20" t="n"/>
      <c r="D4" s="20" t="n"/>
      <c r="E4" s="20" t="n"/>
      <c r="F4" s="20" t="inlineStr">
        <is>
          <t>Code</t>
        </is>
      </c>
      <c r="G4" s="20" t="n"/>
      <c r="H4" s="20" t="n"/>
      <c r="I4" s="21" t="inlineStr">
        <is>
          <t>Owed</t>
        </is>
      </c>
      <c r="J4" s="21" t="inlineStr">
        <is>
          <t>Owed</t>
        </is>
      </c>
      <c r="K4" s="21" t="inlineStr">
        <is>
          <t>Owed</t>
        </is>
      </c>
      <c r="L4" s="21" t="inlineStr">
        <is>
          <t>Owed</t>
        </is>
      </c>
      <c r="M4" s="21" t="inlineStr">
        <is>
          <t>90 Owed</t>
        </is>
      </c>
      <c r="N4" s="21" t="inlineStr">
        <is>
          <t>payments</t>
        </is>
      </c>
      <c r="O4" s="21" t="inlineStr">
        <is>
          <t>Owed</t>
        </is>
      </c>
    </row>
    <row r="5" ht="18" customHeight="1" s="192">
      <c r="A5" s="71" t="inlineStr">
        <is>
          <t>Revolution Labs Owner, LLC (revlabpm)</t>
        </is>
      </c>
      <c r="B5" s="253" t="n"/>
      <c r="C5" s="253" t="n"/>
      <c r="D5" s="253" t="n"/>
      <c r="E5" s="253" t="n"/>
      <c r="F5" s="253" t="n"/>
      <c r="G5" s="253" t="n"/>
      <c r="H5" s="253" t="n"/>
      <c r="I5" s="253" t="n"/>
      <c r="J5" s="253" t="n"/>
      <c r="K5" s="253" t="n"/>
      <c r="L5" s="253" t="n"/>
      <c r="M5" s="253" t="n"/>
      <c r="N5" s="253" t="n"/>
      <c r="O5" s="253" t="n"/>
    </row>
    <row r="6">
      <c r="A6" s="65" t="inlineStr">
        <is>
          <t xml:space="preserve">Accent Therapeutics, Inc (t0000011) </t>
        </is>
      </c>
    </row>
    <row r="7" ht="14.4" customHeight="1" s="192">
      <c r="A7" s="67" t="inlineStr">
        <is>
          <t>revlabpm</t>
        </is>
      </c>
      <c r="B7" s="67" t="n"/>
      <c r="C7" s="67" t="inlineStr">
        <is>
          <t>Accent Therapeutics, Inc</t>
        </is>
      </c>
      <c r="D7" s="67" t="inlineStr">
        <is>
          <t>Current</t>
        </is>
      </c>
      <c r="E7" s="67" t="inlineStr">
        <is>
          <t>C-8760</t>
        </is>
      </c>
      <c r="F7" s="67" t="inlineStr">
        <is>
          <t>ELECT</t>
        </is>
      </c>
      <c r="G7" s="23" t="n">
        <v>46045</v>
      </c>
      <c r="H7" s="67" t="inlineStr">
        <is>
          <t>01/2026</t>
        </is>
      </c>
      <c r="I7" s="24" t="n">
        <v>3325.87</v>
      </c>
      <c r="J7" s="24" t="n">
        <v>3325.87</v>
      </c>
      <c r="K7" s="24" t="n">
        <v>0</v>
      </c>
      <c r="L7" s="24" t="n">
        <v>0</v>
      </c>
      <c r="M7" s="24" t="n">
        <v>0</v>
      </c>
      <c r="N7" s="24" t="n">
        <v>0</v>
      </c>
      <c r="O7" s="24" t="n">
        <v>3325.87</v>
      </c>
    </row>
    <row r="8" ht="14.4" customHeight="1" s="192">
      <c r="A8" s="67" t="inlineStr">
        <is>
          <t>revlabpm</t>
        </is>
      </c>
      <c r="B8" s="67" t="n"/>
      <c r="C8" s="67" t="inlineStr">
        <is>
          <t>Accent Therapeutics, Inc</t>
        </is>
      </c>
      <c r="D8" s="67" t="inlineStr">
        <is>
          <t>Current</t>
        </is>
      </c>
      <c r="E8" s="67" t="inlineStr">
        <is>
          <t>C-8761</t>
        </is>
      </c>
      <c r="F8" s="67" t="inlineStr">
        <is>
          <t>ELECT</t>
        </is>
      </c>
      <c r="G8" s="23" t="n">
        <v>46045</v>
      </c>
      <c r="H8" s="67" t="inlineStr">
        <is>
          <t>01/2026</t>
        </is>
      </c>
      <c r="I8" s="24" t="n">
        <v>1771.69</v>
      </c>
      <c r="J8" s="24" t="n">
        <v>1771.69</v>
      </c>
      <c r="K8" s="24" t="n">
        <v>0</v>
      </c>
      <c r="L8" s="24" t="n">
        <v>0</v>
      </c>
      <c r="M8" s="24" t="n">
        <v>0</v>
      </c>
      <c r="N8" s="24" t="n">
        <v>0</v>
      </c>
      <c r="O8" s="24" t="n">
        <v>1771.69</v>
      </c>
    </row>
    <row r="9" ht="14.4" customHeight="1" s="192">
      <c r="A9" s="25" t="inlineStr">
        <is>
          <t>revlabpm</t>
        </is>
      </c>
      <c r="B9" s="25" t="n"/>
      <c r="C9" s="25" t="inlineStr">
        <is>
          <t>Accent Therapeutics, Inc</t>
        </is>
      </c>
      <c r="D9" s="25" t="inlineStr">
        <is>
          <t>Current</t>
        </is>
      </c>
      <c r="E9" s="25" t="inlineStr">
        <is>
          <t>C-8764</t>
        </is>
      </c>
      <c r="F9" s="25" t="inlineStr">
        <is>
          <t>UTILI</t>
        </is>
      </c>
      <c r="G9" s="26" t="n">
        <v>46045</v>
      </c>
      <c r="H9" s="25" t="inlineStr">
        <is>
          <t>01/2026</t>
        </is>
      </c>
      <c r="I9" s="27" t="n">
        <v>11.07</v>
      </c>
      <c r="J9" s="27" t="n">
        <v>11.07</v>
      </c>
      <c r="K9" s="27" t="n">
        <v>0</v>
      </c>
      <c r="L9" s="27" t="n">
        <v>0</v>
      </c>
      <c r="M9" s="27" t="n">
        <v>0</v>
      </c>
      <c r="N9" s="27" t="n">
        <v>0</v>
      </c>
      <c r="O9" s="27" t="n">
        <v>11.07</v>
      </c>
    </row>
    <row r="10" ht="14.4" customHeight="1" s="192">
      <c r="A10" s="76" t="n"/>
      <c r="B10" s="76" t="n"/>
      <c r="C10" s="29" t="inlineStr">
        <is>
          <t>Accent Therapeutics, Inc</t>
        </is>
      </c>
      <c r="D10" s="76" t="n"/>
      <c r="E10" s="76" t="n"/>
      <c r="F10" s="76" t="n"/>
      <c r="G10" s="76" t="n"/>
      <c r="H10" s="76" t="n"/>
      <c r="I10" s="30" t="n">
        <v>5108.63</v>
      </c>
      <c r="J10" s="30" t="n">
        <v>5108.63</v>
      </c>
      <c r="K10" s="30" t="n">
        <v>0</v>
      </c>
      <c r="L10" s="30" t="n">
        <v>0</v>
      </c>
      <c r="M10" s="30" t="n">
        <v>0</v>
      </c>
      <c r="N10" s="30" t="n">
        <v>0</v>
      </c>
      <c r="O10" s="30" t="n">
        <v>5108.63</v>
      </c>
    </row>
    <row r="11" ht="14.4" customHeight="1" s="192">
      <c r="A11" s="64" t="n"/>
    </row>
    <row r="12" ht="14.4" customHeight="1" s="192">
      <c r="A12" s="65" t="inlineStr">
        <is>
          <t xml:space="preserve">Keros Therapeutics Inc (t0000013) </t>
        </is>
      </c>
    </row>
    <row r="13" ht="14.4" customHeight="1" s="192">
      <c r="A13" s="67" t="inlineStr">
        <is>
          <t>revlabpm</t>
        </is>
      </c>
      <c r="B13" s="67" t="n"/>
      <c r="C13" s="67" t="inlineStr">
        <is>
          <t>Keros Therapeutics Inc</t>
        </is>
      </c>
      <c r="D13" s="67" t="inlineStr">
        <is>
          <t>Current</t>
        </is>
      </c>
      <c r="E13" s="67" t="inlineStr">
        <is>
          <t>C-8758</t>
        </is>
      </c>
      <c r="F13" s="67" t="inlineStr">
        <is>
          <t>ELECT</t>
        </is>
      </c>
      <c r="G13" s="23" t="n">
        <v>46045</v>
      </c>
      <c r="H13" s="67" t="inlineStr">
        <is>
          <t>01/2026</t>
        </is>
      </c>
      <c r="I13" s="24" t="n">
        <v>1298.13</v>
      </c>
      <c r="J13" s="24" t="n">
        <v>1298.13</v>
      </c>
      <c r="K13" s="24" t="n">
        <v>0</v>
      </c>
      <c r="L13" s="24" t="n">
        <v>0</v>
      </c>
      <c r="M13" s="24" t="n">
        <v>0</v>
      </c>
      <c r="N13" s="24" t="n">
        <v>0</v>
      </c>
      <c r="O13" s="24" t="n">
        <v>1298.13</v>
      </c>
    </row>
    <row r="14" ht="14.4" customHeight="1" s="192">
      <c r="A14" s="67" t="inlineStr">
        <is>
          <t>revlabpm</t>
        </is>
      </c>
      <c r="B14" s="67" t="n"/>
      <c r="C14" s="67" t="inlineStr">
        <is>
          <t>Keros Therapeutics Inc</t>
        </is>
      </c>
      <c r="D14" s="67" t="inlineStr">
        <is>
          <t>Current</t>
        </is>
      </c>
      <c r="E14" s="67" t="inlineStr">
        <is>
          <t>C-8759</t>
        </is>
      </c>
      <c r="F14" s="67" t="inlineStr">
        <is>
          <t>ELECT</t>
        </is>
      </c>
      <c r="G14" s="23" t="n">
        <v>46045</v>
      </c>
      <c r="H14" s="67" t="inlineStr">
        <is>
          <t>01/2026</t>
        </is>
      </c>
      <c r="I14" s="24" t="n">
        <v>6194.28</v>
      </c>
      <c r="J14" s="24" t="n">
        <v>6194.28</v>
      </c>
      <c r="K14" s="24" t="n">
        <v>0</v>
      </c>
      <c r="L14" s="24" t="n">
        <v>0</v>
      </c>
      <c r="M14" s="24" t="n">
        <v>0</v>
      </c>
      <c r="N14" s="24" t="n">
        <v>0</v>
      </c>
      <c r="O14" s="24" t="n">
        <v>6194.28</v>
      </c>
    </row>
    <row r="15" ht="14.4" customHeight="1" s="192">
      <c r="A15" s="67" t="inlineStr">
        <is>
          <t>revlabpm</t>
        </is>
      </c>
      <c r="B15" s="67" t="n"/>
      <c r="C15" s="67" t="inlineStr">
        <is>
          <t>Keros Therapeutics Inc</t>
        </is>
      </c>
      <c r="D15" s="67" t="inlineStr">
        <is>
          <t>Current</t>
        </is>
      </c>
      <c r="E15" s="67" t="inlineStr">
        <is>
          <t>C-8765</t>
        </is>
      </c>
      <c r="F15" s="67" t="inlineStr">
        <is>
          <t>UTILI</t>
        </is>
      </c>
      <c r="G15" s="23" t="n">
        <v>46045</v>
      </c>
      <c r="H15" s="67" t="inlineStr">
        <is>
          <t>01/2026</t>
        </is>
      </c>
      <c r="I15" s="24" t="n">
        <v>43.57</v>
      </c>
      <c r="J15" s="24" t="n">
        <v>43.57</v>
      </c>
      <c r="K15" s="24" t="n">
        <v>0</v>
      </c>
      <c r="L15" s="24" t="n">
        <v>0</v>
      </c>
      <c r="M15" s="24" t="n">
        <v>0</v>
      </c>
      <c r="N15" s="24" t="n">
        <v>0</v>
      </c>
      <c r="O15" s="24" t="n">
        <v>43.57</v>
      </c>
    </row>
    <row r="16" ht="14.4" customHeight="1" s="192">
      <c r="A16" s="25" t="inlineStr">
        <is>
          <t>revlabpm</t>
        </is>
      </c>
      <c r="B16" s="25" t="n"/>
      <c r="C16" s="25" t="inlineStr">
        <is>
          <t>Keros Therapeutics Inc</t>
        </is>
      </c>
      <c r="D16" s="25" t="inlineStr">
        <is>
          <t>Current</t>
        </is>
      </c>
      <c r="E16" s="25" t="inlineStr">
        <is>
          <t>C-8766</t>
        </is>
      </c>
      <c r="F16" s="25" t="inlineStr">
        <is>
          <t>UTILI</t>
        </is>
      </c>
      <c r="G16" s="26" t="n">
        <v>46045</v>
      </c>
      <c r="H16" s="25" t="inlineStr">
        <is>
          <t>01/2026</t>
        </is>
      </c>
      <c r="I16" s="27" t="n">
        <v>1581.94</v>
      </c>
      <c r="J16" s="27" t="n">
        <v>1581.94</v>
      </c>
      <c r="K16" s="27" t="n">
        <v>0</v>
      </c>
      <c r="L16" s="27" t="n">
        <v>0</v>
      </c>
      <c r="M16" s="27" t="n">
        <v>0</v>
      </c>
      <c r="N16" s="27" t="n">
        <v>0</v>
      </c>
      <c r="O16" s="27" t="n">
        <v>1581.94</v>
      </c>
    </row>
    <row r="17" ht="14.4" customHeight="1" s="192">
      <c r="A17" s="76" t="n"/>
      <c r="B17" s="76" t="n"/>
      <c r="C17" s="29" t="inlineStr">
        <is>
          <t>Keros Therapeutics Inc</t>
        </is>
      </c>
      <c r="D17" s="76" t="n"/>
      <c r="E17" s="76" t="n"/>
      <c r="F17" s="76" t="n"/>
      <c r="G17" s="76" t="n"/>
      <c r="H17" s="76" t="n"/>
      <c r="I17" s="30" t="n">
        <v>9117.92</v>
      </c>
      <c r="J17" s="30" t="n">
        <v>9117.92</v>
      </c>
      <c r="K17" s="30" t="n">
        <v>0</v>
      </c>
      <c r="L17" s="30" t="n">
        <v>0</v>
      </c>
      <c r="M17" s="30" t="n">
        <v>0</v>
      </c>
      <c r="N17" s="30" t="n">
        <v>0</v>
      </c>
      <c r="O17" s="30" t="n">
        <v>9117.92</v>
      </c>
    </row>
    <row r="18" ht="14.4" customHeight="1" s="192">
      <c r="A18" s="64" t="n"/>
    </row>
    <row r="19" ht="14.4" customHeight="1" s="192">
      <c r="A19" s="65" t="inlineStr">
        <is>
          <t xml:space="preserve">Orum Therapeutics (t0000014) </t>
        </is>
      </c>
    </row>
    <row r="20" ht="14.4" customHeight="1" s="192">
      <c r="A20" s="67" t="inlineStr">
        <is>
          <t>revlabpm</t>
        </is>
      </c>
      <c r="B20" s="67" t="n"/>
      <c r="C20" s="67" t="inlineStr">
        <is>
          <t>Orum Therapeutics</t>
        </is>
      </c>
      <c r="D20" s="67" t="inlineStr">
        <is>
          <t>Current</t>
        </is>
      </c>
      <c r="E20" s="67" t="inlineStr">
        <is>
          <t>C-8762</t>
        </is>
      </c>
      <c r="F20" s="67" t="inlineStr">
        <is>
          <t>ELECT</t>
        </is>
      </c>
      <c r="G20" s="23" t="n">
        <v>46045</v>
      </c>
      <c r="H20" s="67" t="inlineStr">
        <is>
          <t>01/2026</t>
        </is>
      </c>
      <c r="I20" s="24" t="n">
        <v>51.77</v>
      </c>
      <c r="J20" s="24" t="n">
        <v>51.77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51.77</v>
      </c>
    </row>
    <row r="21" ht="14.4" customHeight="1" s="192">
      <c r="A21" s="67" t="inlineStr">
        <is>
          <t>revlabpm</t>
        </is>
      </c>
      <c r="B21" s="67" t="n"/>
      <c r="C21" s="67" t="inlineStr">
        <is>
          <t>Orum Therapeutics</t>
        </is>
      </c>
      <c r="D21" s="67" t="inlineStr">
        <is>
          <t>Current</t>
        </is>
      </c>
      <c r="E21" s="67" t="inlineStr">
        <is>
          <t>C-8763</t>
        </is>
      </c>
      <c r="F21" s="67" t="inlineStr">
        <is>
          <t>ELECT</t>
        </is>
      </c>
      <c r="G21" s="23" t="n">
        <v>46045</v>
      </c>
      <c r="H21" s="67" t="inlineStr">
        <is>
          <t>01/2026</t>
        </is>
      </c>
      <c r="I21" s="24" t="n">
        <v>652.03</v>
      </c>
      <c r="J21" s="24" t="n">
        <v>652.03</v>
      </c>
      <c r="K21" s="24" t="n">
        <v>0</v>
      </c>
      <c r="L21" s="24" t="n">
        <v>0</v>
      </c>
      <c r="M21" s="24" t="n">
        <v>0</v>
      </c>
      <c r="N21" s="24" t="n">
        <v>0</v>
      </c>
      <c r="O21" s="24" t="n">
        <v>652.03</v>
      </c>
    </row>
    <row r="22" ht="14.4" customHeight="1" s="192">
      <c r="A22" s="25" t="inlineStr">
        <is>
          <t>revlabpm</t>
        </is>
      </c>
      <c r="B22" s="25" t="n"/>
      <c r="C22" s="25" t="inlineStr">
        <is>
          <t>Orum Therapeutics</t>
        </is>
      </c>
      <c r="D22" s="25" t="inlineStr">
        <is>
          <t>Current</t>
        </is>
      </c>
      <c r="E22" s="25" t="inlineStr">
        <is>
          <t>C-8767</t>
        </is>
      </c>
      <c r="F22" s="25" t="inlineStr">
        <is>
          <t>UTILI</t>
        </is>
      </c>
      <c r="G22" s="26" t="n">
        <v>46045</v>
      </c>
      <c r="H22" s="25" t="inlineStr">
        <is>
          <t>01/2026</t>
        </is>
      </c>
      <c r="I22" s="27" t="n">
        <v>35.01</v>
      </c>
      <c r="J22" s="27" t="n">
        <v>35.01</v>
      </c>
      <c r="K22" s="27" t="n">
        <v>0</v>
      </c>
      <c r="L22" s="27" t="n">
        <v>0</v>
      </c>
      <c r="M22" s="27" t="n">
        <v>0</v>
      </c>
      <c r="N22" s="27" t="n">
        <v>0</v>
      </c>
      <c r="O22" s="27" t="n">
        <v>35.01</v>
      </c>
    </row>
    <row r="23" ht="14.4" customHeight="1" s="192">
      <c r="A23" s="76" t="n"/>
      <c r="B23" s="76" t="n"/>
      <c r="C23" s="29" t="inlineStr">
        <is>
          <t>Orum Therapeutics</t>
        </is>
      </c>
      <c r="D23" s="76" t="n"/>
      <c r="E23" s="76" t="n"/>
      <c r="F23" s="76" t="n"/>
      <c r="G23" s="76" t="n"/>
      <c r="H23" s="76" t="n"/>
      <c r="I23" s="30" t="n">
        <v>738.8099999999999</v>
      </c>
      <c r="J23" s="30" t="n">
        <v>738.8099999999999</v>
      </c>
      <c r="K23" s="30" t="n">
        <v>0</v>
      </c>
      <c r="L23" s="30" t="n">
        <v>0</v>
      </c>
      <c r="M23" s="30" t="n">
        <v>0</v>
      </c>
      <c r="N23" s="30" t="n">
        <v>0</v>
      </c>
      <c r="O23" s="30" t="n">
        <v>738.8099999999999</v>
      </c>
    </row>
    <row r="24" ht="14.4" customHeight="1" s="192">
      <c r="A24" s="64" t="n"/>
    </row>
    <row r="25" ht="14.4" customHeight="1" s="192">
      <c r="A25" s="65" t="inlineStr">
        <is>
          <t xml:space="preserve">Santi Therapeutics Inc (t0000015) </t>
        </is>
      </c>
    </row>
    <row r="26" ht="14.4" customHeight="1" s="192">
      <c r="A26" s="67" t="inlineStr">
        <is>
          <t>revlabpm</t>
        </is>
      </c>
      <c r="B26" s="67" t="n"/>
      <c r="C26" s="67" t="inlineStr">
        <is>
          <t>Santi Therapeutics Inc</t>
        </is>
      </c>
      <c r="D26" s="67" t="inlineStr">
        <is>
          <t>Current</t>
        </is>
      </c>
      <c r="E26" s="67" t="inlineStr">
        <is>
          <t>R-4138</t>
        </is>
      </c>
      <c r="F26" s="67" t="inlineStr">
        <is>
          <t>Prepay</t>
        </is>
      </c>
      <c r="G26" s="23" t="n">
        <v>46029</v>
      </c>
      <c r="H26" s="67" t="inlineStr">
        <is>
          <t>01/2026</t>
        </is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-1273.83</v>
      </c>
      <c r="O26" s="24" t="n">
        <v>-1273.83</v>
      </c>
    </row>
    <row r="27" ht="14.4" customHeight="1" s="192">
      <c r="A27" s="67" t="inlineStr">
        <is>
          <t>revlabpm</t>
        </is>
      </c>
      <c r="B27" s="67" t="n"/>
      <c r="C27" s="67" t="inlineStr">
        <is>
          <t>Santi Therapeutics Inc</t>
        </is>
      </c>
      <c r="D27" s="67" t="inlineStr">
        <is>
          <t>Current</t>
        </is>
      </c>
      <c r="E27" s="67" t="inlineStr">
        <is>
          <t>R-4138</t>
        </is>
      </c>
      <c r="F27" s="67" t="inlineStr">
        <is>
          <t>Prepay</t>
        </is>
      </c>
      <c r="G27" s="23" t="n">
        <v>46029</v>
      </c>
      <c r="H27" s="67" t="inlineStr">
        <is>
          <t>01/2026</t>
        </is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-292888.88</v>
      </c>
      <c r="O27" s="24" t="n">
        <v>-292888.88</v>
      </c>
    </row>
    <row r="28" ht="14.4" customHeight="1" s="192">
      <c r="A28" s="67" t="inlineStr">
        <is>
          <t>revlabpm</t>
        </is>
      </c>
      <c r="B28" s="67" t="n"/>
      <c r="C28" s="67" t="inlineStr">
        <is>
          <t>Santi Therapeutics Inc</t>
        </is>
      </c>
      <c r="D28" s="67" t="inlineStr">
        <is>
          <t>Current</t>
        </is>
      </c>
      <c r="E28" s="67" t="inlineStr">
        <is>
          <t>C-8757</t>
        </is>
      </c>
      <c r="F28" s="67" t="inlineStr">
        <is>
          <t>ELECT</t>
        </is>
      </c>
      <c r="G28" s="23" t="n">
        <v>46045</v>
      </c>
      <c r="H28" s="67" t="inlineStr">
        <is>
          <t>01/2026</t>
        </is>
      </c>
      <c r="I28" s="24" t="n">
        <v>2060.41</v>
      </c>
      <c r="J28" s="24" t="n">
        <v>2060.41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2060.41</v>
      </c>
    </row>
    <row r="29" ht="14.4" customHeight="1" s="192">
      <c r="A29" s="25" t="inlineStr">
        <is>
          <t>revlabpm</t>
        </is>
      </c>
      <c r="B29" s="25" t="n"/>
      <c r="C29" s="25" t="inlineStr">
        <is>
          <t>Santi Therapeutics Inc</t>
        </is>
      </c>
      <c r="D29" s="25" t="inlineStr">
        <is>
          <t>Current</t>
        </is>
      </c>
      <c r="E29" s="25" t="inlineStr">
        <is>
          <t>C-8768</t>
        </is>
      </c>
      <c r="F29" s="25" t="inlineStr">
        <is>
          <t>UTILI</t>
        </is>
      </c>
      <c r="G29" s="26" t="n">
        <v>46045</v>
      </c>
      <c r="H29" s="25" t="inlineStr">
        <is>
          <t>01/2026</t>
        </is>
      </c>
      <c r="I29" s="27" t="n">
        <v>65.36</v>
      </c>
      <c r="J29" s="27" t="n">
        <v>65.36</v>
      </c>
      <c r="K29" s="27" t="n">
        <v>0</v>
      </c>
      <c r="L29" s="27" t="n">
        <v>0</v>
      </c>
      <c r="M29" s="27" t="n">
        <v>0</v>
      </c>
      <c r="N29" s="27" t="n">
        <v>0</v>
      </c>
      <c r="O29" s="27" t="n">
        <v>65.36</v>
      </c>
    </row>
    <row r="30" ht="14.4" customHeight="1" s="192">
      <c r="A30" s="76" t="n"/>
      <c r="B30" s="76" t="n"/>
      <c r="C30" s="29" t="inlineStr">
        <is>
          <t>Santi Therapeutics Inc</t>
        </is>
      </c>
      <c r="D30" s="76" t="n"/>
      <c r="E30" s="76" t="n"/>
      <c r="F30" s="76" t="n"/>
      <c r="G30" s="76" t="n"/>
      <c r="H30" s="76" t="n"/>
      <c r="I30" s="30" t="n">
        <v>2125.77</v>
      </c>
      <c r="J30" s="30" t="n">
        <v>2125.77</v>
      </c>
      <c r="K30" s="30" t="n">
        <v>0</v>
      </c>
      <c r="L30" s="30" t="n">
        <v>0</v>
      </c>
      <c r="M30" s="30" t="n">
        <v>0</v>
      </c>
      <c r="N30" s="30" t="n">
        <v>-294162.71</v>
      </c>
      <c r="O30" s="30" t="n">
        <v>-292036.94</v>
      </c>
    </row>
    <row r="31" ht="14.4" customHeight="1" s="192">
      <c r="A31" s="68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</row>
    <row r="32" ht="14.4" customHeight="1" s="192">
      <c r="A32" s="29" t="inlineStr">
        <is>
          <t>revlabpm</t>
        </is>
      </c>
      <c r="B32" s="76" t="n"/>
      <c r="C32" s="76" t="n"/>
      <c r="D32" s="76" t="n"/>
      <c r="E32" s="76" t="n"/>
      <c r="F32" s="76" t="n"/>
      <c r="G32" s="76" t="n"/>
      <c r="H32" s="76" t="n"/>
      <c r="I32" s="30" t="n">
        <v>17091.13</v>
      </c>
      <c r="J32" s="30" t="n">
        <v>17091.13</v>
      </c>
      <c r="K32" s="30" t="n">
        <v>0</v>
      </c>
      <c r="L32" s="30" t="n">
        <v>0</v>
      </c>
      <c r="M32" s="30" t="n">
        <v>0</v>
      </c>
      <c r="N32" s="30" t="n">
        <v>-294162.71</v>
      </c>
      <c r="O32" s="30" t="n">
        <v>-277071.58</v>
      </c>
    </row>
    <row r="33" ht="14.4" customHeight="1" s="192">
      <c r="A33" s="68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</row>
    <row r="34" ht="14.4" customHeight="1" s="192">
      <c r="A34" s="29" t="inlineStr">
        <is>
          <t>Grand Total</t>
        </is>
      </c>
      <c r="B34" s="76" t="n"/>
      <c r="C34" s="76" t="n"/>
      <c r="D34" s="76" t="n"/>
      <c r="E34" s="76" t="n"/>
      <c r="F34" s="76" t="n"/>
      <c r="G34" s="76" t="n"/>
      <c r="H34" s="76" t="n"/>
      <c r="I34" s="30" t="n">
        <v>17091.13</v>
      </c>
      <c r="J34" s="30" t="n">
        <v>17091.13</v>
      </c>
      <c r="K34" s="30" t="n">
        <v>0</v>
      </c>
      <c r="L34" s="30" t="n">
        <v>0</v>
      </c>
      <c r="M34" s="30" t="n">
        <v>0</v>
      </c>
      <c r="N34" s="30" t="n">
        <v>-294162.71</v>
      </c>
      <c r="O34" s="30" t="n">
        <v>-277071.58</v>
      </c>
    </row>
    <row r="35" ht="14.4" customHeight="1" s="192">
      <c r="A35" s="64" t="n"/>
    </row>
    <row r="36" ht="14.4" customHeight="1" s="192">
      <c r="A36" s="67" t="inlineStr">
        <is>
          <t>UserId : rwalsh@greatlandpartners.com Date : 5/11/2026 Time : 8:04 AM</t>
        </is>
      </c>
    </row>
  </sheetData>
  <mergeCells count="14">
    <mergeCell ref="A35:O35"/>
    <mergeCell ref="A12:O12"/>
    <mergeCell ref="A25:O25"/>
    <mergeCell ref="A24:O24"/>
    <mergeCell ref="A2:O2"/>
    <mergeCell ref="A33:O33"/>
    <mergeCell ref="A19:O19"/>
    <mergeCell ref="A36:O36"/>
    <mergeCell ref="A11:O11"/>
    <mergeCell ref="A1:O1"/>
    <mergeCell ref="A5:O5"/>
    <mergeCell ref="A31:O31"/>
    <mergeCell ref="A6:O6"/>
    <mergeCell ref="A18:O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B1:E10"/>
  <sheetViews>
    <sheetView workbookViewId="0">
      <selection activeCell="A1" sqref="A1"/>
    </sheetView>
  </sheetViews>
  <sheetFormatPr baseColWidth="8" defaultRowHeight="14.4"/>
  <cols>
    <col width="2.21875" customWidth="1" style="192" min="1" max="1"/>
    <col width="9.109375" customWidth="1" style="192" min="2" max="2"/>
    <col width="39.44140625" customWidth="1" style="192" min="3" max="4"/>
    <col width="26.109375" customWidth="1" style="192" min="5" max="5"/>
    <col width="6.33203125" customWidth="1" style="192" min="6" max="6"/>
    <col width="7" customWidth="1" style="192" min="7" max="7"/>
    <col width="8.44140625" customWidth="1" style="192" min="8" max="8"/>
    <col width="7" customWidth="1" style="192" min="9" max="9"/>
    <col width="9.109375" customWidth="1" style="192" min="10" max="10"/>
    <col width="6" customWidth="1" style="192" min="12" max="12"/>
    <col width="8.109375" customWidth="1" style="192" min="14" max="14"/>
    <col width="10.88671875" customWidth="1" style="192" min="15" max="15"/>
  </cols>
  <sheetData>
    <row r="1" ht="15.75" customHeight="1" s="192">
      <c r="B1" s="98" t="inlineStr">
        <is>
          <t>133100</t>
        </is>
      </c>
      <c r="D1" s="98" t="n"/>
      <c r="E1" s="94" t="n"/>
    </row>
    <row r="2" ht="15" customHeight="1" s="192">
      <c r="B2" s="98" t="inlineStr">
        <is>
          <t>Loan Reserve</t>
        </is>
      </c>
      <c r="D2" s="98" t="n"/>
      <c r="E2" s="94" t="n"/>
    </row>
    <row r="3" ht="15" customHeight="1" s="192">
      <c r="B3" s="138" t="inlineStr">
        <is>
          <t>revlabs  |  Period: Jan-2026  |  Prepared: 05/12/2026</t>
        </is>
      </c>
      <c r="D3" s="138" t="n"/>
      <c r="E3" s="94" t="n"/>
    </row>
    <row r="4" ht="15" customHeight="1" s="192"/>
    <row r="5" ht="15" customHeight="1" s="192">
      <c r="B5" s="1" t="inlineStr">
        <is>
          <t>Date</t>
        </is>
      </c>
      <c r="C5" s="1" t="inlineStr">
        <is>
          <t>Description</t>
        </is>
      </c>
      <c r="D5" s="102" t="inlineStr">
        <is>
          <t>GL Account</t>
        </is>
      </c>
      <c r="E5" s="1" t="inlineStr">
        <is>
          <t>Amount</t>
        </is>
      </c>
    </row>
    <row r="6" ht="15" customHeight="1" s="192"/>
    <row r="7" ht="15" customHeight="1" s="192" thickBot="1"/>
    <row r="8" ht="15" customHeight="1" s="192">
      <c r="B8" s="89" t="inlineStr">
        <is>
          <t>Ending Balance per GL</t>
        </is>
      </c>
      <c r="C8" s="254" t="n"/>
      <c r="D8" s="107" t="n"/>
      <c r="E8" s="91">
        <f>SUM(E6:E7)</f>
        <v/>
      </c>
    </row>
    <row r="9" ht="15" customHeight="1" s="192">
      <c r="B9" s="255" t="inlineStr">
        <is>
          <t>Ending Balance per TB</t>
        </is>
      </c>
      <c r="C9" s="61" t="n"/>
      <c r="D9" s="84" t="n"/>
      <c r="E9" s="88">
        <f>VLOOKUP(B1,'Trial Balance'!$A:$F,6,0)</f>
        <v/>
      </c>
    </row>
    <row r="10" ht="15" customHeight="1" s="192">
      <c r="B10" s="86" t="inlineStr">
        <is>
          <t>Variance</t>
        </is>
      </c>
      <c r="C10" s="256" t="n"/>
      <c r="D10" s="108" t="n"/>
      <c r="E10" s="97">
        <f>E8-E9</f>
        <v/>
      </c>
    </row>
    <row r="11" ht="15" customHeight="1" s="192"/>
    <row r="12" ht="15" customHeight="1" s="192"/>
    <row r="13" ht="15" customHeight="1" s="192"/>
    <row r="14" ht="15" customHeight="1" s="192"/>
    <row r="15" ht="15" customHeight="1" s="192"/>
    <row r="16" ht="15" customHeight="1" s="192"/>
    <row r="17" ht="15" customHeight="1" s="192"/>
    <row r="18" ht="15" customHeight="1" s="192"/>
    <row r="19" ht="15" customHeight="1" s="192"/>
    <row r="20" ht="15" customHeight="1" s="192"/>
    <row r="21" ht="15" customHeight="1" s="192"/>
    <row r="22" ht="15" customHeight="1" s="192"/>
    <row r="23" ht="15" customHeight="1" s="192"/>
    <row r="24" ht="15" customHeight="1" s="192"/>
    <row r="25" ht="15" customHeight="1" s="192"/>
    <row r="26" ht="15" customHeight="1" s="192"/>
    <row r="27" ht="15" customHeight="1" s="192"/>
    <row r="28" ht="15" customHeight="1" s="192"/>
    <row r="29" ht="15" customHeight="1" s="192"/>
    <row r="30" ht="15" customHeight="1" s="192"/>
    <row r="31" ht="15" customHeight="1" s="192"/>
    <row r="32" ht="15" customHeight="1" s="192"/>
    <row r="33" ht="15" customHeight="1" s="192"/>
    <row r="34" ht="15" customHeight="1" s="192"/>
    <row r="35" ht="15" customHeight="1" s="192"/>
    <row r="36" ht="15" customHeight="1" s="192"/>
    <row r="37" ht="15" customHeight="1" s="192"/>
  </sheetData>
  <mergeCells count="6">
    <mergeCell ref="B2:C2"/>
    <mergeCell ref="B3:C3"/>
    <mergeCell ref="B10:C10"/>
    <mergeCell ref="B9:C9"/>
    <mergeCell ref="B1:C1"/>
    <mergeCell ref="B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B1:E17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14.33203125" customWidth="1" style="192" min="2" max="2"/>
    <col width="52" customWidth="1" style="192" min="3" max="3"/>
    <col width="14" customWidth="1" style="192" min="4" max="4"/>
    <col width="18" customWidth="1" style="192" min="5" max="5"/>
  </cols>
  <sheetData>
    <row r="1" ht="18" customHeight="1" s="192">
      <c r="B1" s="98" t="inlineStr">
        <is>
          <t>133110</t>
        </is>
      </c>
      <c r="E1" s="94" t="n"/>
    </row>
    <row r="2" ht="18" customHeight="1" s="192">
      <c r="B2" s="98" t="inlineStr">
        <is>
          <t>AR Tenant Billback</t>
        </is>
      </c>
      <c r="E2" s="94" t="n"/>
    </row>
    <row r="3">
      <c r="B3" s="138" t="inlineStr">
        <is>
          <t>revlabs  |  Period: Jan-2026  |  Prepared: 05/12/2026</t>
        </is>
      </c>
      <c r="E3" s="94" t="n"/>
    </row>
    <row r="5" ht="18" customHeight="1" s="192">
      <c r="B5" s="116" t="inlineStr">
        <is>
          <t>Date</t>
        </is>
      </c>
      <c r="C5" s="102" t="inlineStr">
        <is>
          <t>Description</t>
        </is>
      </c>
      <c r="D5" s="102" t="inlineStr">
        <is>
          <t>GL Account</t>
        </is>
      </c>
      <c r="E5" s="102" t="inlineStr">
        <is>
          <t>Amount</t>
        </is>
      </c>
    </row>
    <row r="6">
      <c r="B6" s="109" t="n"/>
      <c r="C6" s="109" t="inlineStr">
        <is>
          <t>Accrue: Keros Elect - 1/1/2026-1/31/2026</t>
        </is>
      </c>
      <c r="D6" s="103" t="n">
        <v>440500</v>
      </c>
      <c r="E6" s="104" t="n">
        <v>5097.56</v>
      </c>
    </row>
    <row r="7">
      <c r="B7" s="6" t="n"/>
      <c r="C7" s="6" t="n"/>
      <c r="D7" s="105" t="n">
        <v>440500</v>
      </c>
      <c r="E7" s="106" t="n">
        <v>7492.41</v>
      </c>
    </row>
    <row r="8">
      <c r="B8" s="127" t="n"/>
      <c r="C8" s="127" t="n"/>
      <c r="D8" s="103" t="n">
        <v>440500</v>
      </c>
      <c r="E8" s="104" t="n">
        <v>703.8</v>
      </c>
    </row>
    <row r="9">
      <c r="B9" s="6" t="n"/>
      <c r="C9" s="6" t="n"/>
      <c r="D9" s="105" t="n">
        <v>440500</v>
      </c>
      <c r="E9" s="106" t="n">
        <v>2060.41</v>
      </c>
    </row>
    <row r="10">
      <c r="B10" s="109" t="n"/>
      <c r="C10" s="109" t="inlineStr">
        <is>
          <t>Accrue: Keros HVAC - 1/1/2026-1/31/2026</t>
        </is>
      </c>
      <c r="D10" s="103" t="n">
        <v>440700</v>
      </c>
      <c r="E10" s="104" t="n">
        <v>11.07</v>
      </c>
    </row>
    <row r="11">
      <c r="B11" s="6" t="n"/>
      <c r="C11" s="6" t="n"/>
      <c r="D11" s="105" t="n">
        <v>440700</v>
      </c>
      <c r="E11" s="106" t="n">
        <v>1625.51</v>
      </c>
    </row>
    <row r="12">
      <c r="B12" s="127" t="n"/>
      <c r="C12" s="127" t="n"/>
      <c r="D12" s="103" t="n">
        <v>440700</v>
      </c>
      <c r="E12" s="104" t="n">
        <v>35.01</v>
      </c>
    </row>
    <row r="13">
      <c r="B13" s="6" t="n"/>
      <c r="C13" s="6" t="n"/>
      <c r="D13" s="105" t="n">
        <v>440700</v>
      </c>
      <c r="E13" s="106" t="n">
        <v>65.36</v>
      </c>
    </row>
    <row r="14" ht="15" customHeight="1" s="192" thickBot="1">
      <c r="B14" s="99" t="n"/>
      <c r="C14" s="99" t="n"/>
      <c r="D14" s="100" t="n"/>
      <c r="E14" s="101" t="n"/>
    </row>
    <row r="15">
      <c r="B15" s="89" t="inlineStr">
        <is>
          <t>Ending Balance per GL</t>
        </is>
      </c>
      <c r="C15" s="254" t="n"/>
      <c r="D15" s="254" t="n"/>
      <c r="E15" s="91">
        <f>SUM(E6:E13)</f>
        <v/>
      </c>
    </row>
    <row r="16">
      <c r="B16" s="255" t="inlineStr">
        <is>
          <t>Ending Balance per TB</t>
        </is>
      </c>
      <c r="C16" s="256" t="n"/>
      <c r="D16" s="61" t="n"/>
      <c r="E16" s="88">
        <f>VLOOKUP(B1,'Trial Balance'!A:F,6,FALSE)</f>
        <v/>
      </c>
    </row>
    <row r="17">
      <c r="B17" s="86" t="inlineStr">
        <is>
          <t>Variance</t>
        </is>
      </c>
      <c r="C17" s="256" t="n"/>
      <c r="D17" s="256" t="n"/>
      <c r="E17" s="97">
        <f>E15-E16</f>
        <v/>
      </c>
    </row>
  </sheetData>
  <mergeCells count="6">
    <mergeCell ref="B3:D3"/>
    <mergeCell ref="B1:D1"/>
    <mergeCell ref="B17:D17"/>
    <mergeCell ref="B2:D2"/>
    <mergeCell ref="B15:D15"/>
    <mergeCell ref="B16:D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B1:E11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 outlineLevelRow="1"/>
  <cols>
    <col width="3" customWidth="1" style="192" min="1" max="1"/>
    <col width="66.109375" bestFit="1" customWidth="1" style="192" min="2" max="2"/>
    <col width="12" customWidth="1" style="192" min="3" max="3"/>
    <col width="15.5546875" bestFit="1" customWidth="1" style="192" min="4" max="4"/>
    <col width="18" customWidth="1" style="192" min="5" max="5"/>
  </cols>
  <sheetData>
    <row r="1" ht="18" customHeight="1" s="192">
      <c r="B1" s="98" t="inlineStr">
        <is>
          <t>Revolution Labs</t>
        </is>
      </c>
      <c r="C1" s="98" t="n"/>
      <c r="D1" s="98" t="n"/>
      <c r="E1" s="98" t="n"/>
    </row>
    <row r="2" ht="18" customHeight="1" s="192">
      <c r="B2" s="98" t="inlineStr">
        <is>
          <t>RE Tax Analysis</t>
        </is>
      </c>
      <c r="C2" s="98" t="n"/>
      <c r="D2" s="98" t="n"/>
      <c r="E2" s="98" t="n"/>
    </row>
    <row r="3">
      <c r="B3" s="138" t="inlineStr">
        <is>
          <t>revlabs  |  Period: Jan-2026  |  Prepared: 05/12/2026</t>
        </is>
      </c>
      <c r="E3" s="138" t="n"/>
    </row>
    <row r="5" ht="30" customHeight="1" s="192">
      <c r="B5" s="172" t="inlineStr">
        <is>
          <t>Description</t>
        </is>
      </c>
      <c r="C5" s="172" t="inlineStr">
        <is>
          <t>Date</t>
        </is>
      </c>
      <c r="D5" s="171" t="inlineStr">
        <is>
          <t>135120</t>
        </is>
      </c>
      <c r="E5" s="171" t="inlineStr">
        <is>
          <t>641110</t>
        </is>
      </c>
    </row>
    <row r="6">
      <c r="B6" s="177" t="n"/>
      <c r="C6" s="177" t="n"/>
      <c r="D6" s="177" t="inlineStr">
        <is>
          <t>Prepaid RE Taxes</t>
        </is>
      </c>
      <c r="E6" s="177" t="inlineStr">
        <is>
          <t>RE Tax Expense</t>
        </is>
      </c>
    </row>
    <row r="7">
      <c r="B7" s="79" t="inlineStr">
        <is>
          <t>PARCEL ID:  00011619</t>
        </is>
      </c>
    </row>
    <row r="8" hidden="1" outlineLevel="1" s="192">
      <c r="B8" s="51" t="inlineStr">
        <is>
          <t>3QTR Payment by client covering Jan thru March</t>
        </is>
      </c>
      <c r="C8" s="51" t="inlineStr">
        <is>
          <t>01/25/2023</t>
        </is>
      </c>
      <c r="D8" s="52" t="n">
        <v>796749.49</v>
      </c>
      <c r="E8" s="53" t="n"/>
    </row>
    <row r="9" hidden="1" outlineLevel="1" s="192">
      <c r="B9" s="54" t="inlineStr">
        <is>
          <t>Reclass January Tax Exp fr PPD</t>
        </is>
      </c>
      <c r="C9" s="54" t="inlineStr">
        <is>
          <t>01/25/2023</t>
        </is>
      </c>
      <c r="D9" s="55" t="n">
        <v>-265583</v>
      </c>
      <c r="E9" s="55" t="n">
        <v>265583</v>
      </c>
    </row>
    <row r="10" hidden="1" outlineLevel="1" s="192">
      <c r="B10" s="51" t="inlineStr">
        <is>
          <t>Reclass Feb Tax Exp fr PPD</t>
        </is>
      </c>
      <c r="C10" s="51" t="inlineStr">
        <is>
          <t>02/25/2023</t>
        </is>
      </c>
      <c r="D10" s="52" t="n">
        <v>-265583</v>
      </c>
      <c r="E10" s="52" t="n">
        <v>265583</v>
      </c>
    </row>
    <row r="11" hidden="1" outlineLevel="1" s="192">
      <c r="B11" s="54" t="inlineStr">
        <is>
          <t>Reclass Mar Tax Exp fr PPD</t>
        </is>
      </c>
      <c r="C11" s="54" t="inlineStr">
        <is>
          <t>03/25/2023</t>
        </is>
      </c>
      <c r="D11" s="55" t="n">
        <v>-265583.49</v>
      </c>
      <c r="E11" s="55" t="n">
        <v>265583.49</v>
      </c>
    </row>
    <row r="12" hidden="1" outlineLevel="1" s="192">
      <c r="B12" s="51" t="inlineStr">
        <is>
          <t>4QTR Payment by client covering Apr thru June</t>
        </is>
      </c>
      <c r="C12" s="51" t="inlineStr">
        <is>
          <t>04/25/2023</t>
        </is>
      </c>
      <c r="D12" s="52" t="n">
        <v>796748.99</v>
      </c>
      <c r="E12" s="53" t="n"/>
    </row>
    <row r="13" hidden="1" outlineLevel="1" s="192">
      <c r="B13" s="54" t="inlineStr">
        <is>
          <t>Reclass April Tax Exp fr PPD</t>
        </is>
      </c>
      <c r="C13" s="54" t="inlineStr">
        <is>
          <t>04/25/2023</t>
        </is>
      </c>
      <c r="D13" s="55" t="n">
        <v>-265583</v>
      </c>
      <c r="E13" s="55" t="n">
        <v>265583</v>
      </c>
    </row>
    <row r="14" hidden="1" outlineLevel="1" s="192">
      <c r="B14" s="51" t="inlineStr">
        <is>
          <t>Reclass May Tax Exp fr PPD</t>
        </is>
      </c>
      <c r="C14" s="51" t="inlineStr">
        <is>
          <t>05/25/2023</t>
        </is>
      </c>
      <c r="D14" s="52" t="n">
        <v>-265583</v>
      </c>
      <c r="E14" s="52" t="n">
        <v>265583</v>
      </c>
    </row>
    <row r="15" hidden="1" outlineLevel="1" s="192">
      <c r="B15" s="54" t="inlineStr">
        <is>
          <t>Reclass June Tax Exp fr PPD</t>
        </is>
      </c>
      <c r="C15" s="54" t="inlineStr">
        <is>
          <t>06/25/2023</t>
        </is>
      </c>
      <c r="D15" s="55" t="n">
        <v>-265582.99</v>
      </c>
      <c r="E15" s="55" t="n">
        <v>265582.99</v>
      </c>
    </row>
    <row r="16" hidden="1" outlineLevel="1" s="192">
      <c r="B16" s="51" t="inlineStr">
        <is>
          <t>FY23/24 1QTR Payment covering July thru Sept</t>
        </is>
      </c>
      <c r="C16" s="51" t="inlineStr">
        <is>
          <t>07/14/2023</t>
        </is>
      </c>
      <c r="D16" s="53" t="n"/>
      <c r="E16" s="52" t="n">
        <v>433692.41</v>
      </c>
    </row>
    <row r="17" hidden="1" outlineLevel="1" s="192">
      <c r="B17" s="54" t="inlineStr">
        <is>
          <t>Reclass Aug and Sept Exp to PPD</t>
        </is>
      </c>
      <c r="C17" s="54" t="inlineStr">
        <is>
          <t>07/25/2023</t>
        </is>
      </c>
      <c r="D17" s="55" t="n">
        <v>289128.27</v>
      </c>
      <c r="E17" s="55" t="n">
        <v>-289128.27</v>
      </c>
    </row>
    <row r="18" hidden="1" outlineLevel="1" s="192">
      <c r="B18" s="51" t="inlineStr">
        <is>
          <t>Reclass Aug Tax Exp fr PPD</t>
        </is>
      </c>
      <c r="C18" s="51" t="inlineStr">
        <is>
          <t>08/25/2023</t>
        </is>
      </c>
      <c r="D18" s="52" t="n">
        <v>-144564.14</v>
      </c>
      <c r="E18" s="52" t="n">
        <v>144564.14</v>
      </c>
    </row>
    <row r="19" hidden="1" outlineLevel="1" s="192">
      <c r="B19" s="54" t="inlineStr">
        <is>
          <t>Reclass Sept Tax Exp fr PPD</t>
        </is>
      </c>
      <c r="C19" s="54" t="inlineStr">
        <is>
          <t>09/25/2023</t>
        </is>
      </c>
      <c r="D19" s="55" t="n">
        <v>-144564.14</v>
      </c>
      <c r="E19" s="55" t="n">
        <v>144564.14</v>
      </c>
    </row>
    <row r="20" hidden="1" outlineLevel="1" s="192">
      <c r="B20" s="51" t="inlineStr">
        <is>
          <t>Accr 9/23 Tax Increase</t>
        </is>
      </c>
      <c r="C20" s="51" t="inlineStr">
        <is>
          <t>09/25/2023</t>
        </is>
      </c>
      <c r="D20" s="53" t="n"/>
      <c r="E20" s="52" t="n">
        <v>239204.01</v>
      </c>
    </row>
    <row r="21" hidden="1" outlineLevel="1" s="192">
      <c r="B21" s="54" t="inlineStr">
        <is>
          <t>FY23/24 2QTR Payment covering Oct thru Dec-2023</t>
        </is>
      </c>
      <c r="C21" s="54" t="inlineStr">
        <is>
          <t>10/10/2023</t>
        </is>
      </c>
      <c r="D21" s="56" t="n"/>
      <c r="E21" s="55" t="n">
        <v>433692.41</v>
      </c>
    </row>
    <row r="22" hidden="1" outlineLevel="1" s="192">
      <c r="B22" s="51" t="inlineStr">
        <is>
          <t>Reclass Nov and Dec -2023 Exp to PPD</t>
        </is>
      </c>
      <c r="C22" s="51" t="inlineStr">
        <is>
          <t>10/25/2023</t>
        </is>
      </c>
      <c r="D22" s="52" t="n">
        <v>289128.27</v>
      </c>
      <c r="E22" s="52" t="n">
        <v>-289128.27</v>
      </c>
    </row>
    <row r="23" hidden="1" outlineLevel="1" s="192">
      <c r="B23" s="54" t="inlineStr">
        <is>
          <t>Accr 10/23 Tax Increase</t>
        </is>
      </c>
      <c r="C23" s="54" t="inlineStr">
        <is>
          <t>10/25/2023</t>
        </is>
      </c>
      <c r="D23" s="56" t="n"/>
      <c r="E23" s="55" t="n">
        <v>86935.84</v>
      </c>
    </row>
    <row r="24" hidden="1" outlineLevel="1" s="192">
      <c r="B24" s="51" t="inlineStr">
        <is>
          <t>Reclass Nov Tax Exp fr PPD</t>
        </is>
      </c>
      <c r="C24" s="51" t="inlineStr">
        <is>
          <t>11/25/2023</t>
        </is>
      </c>
      <c r="D24" s="52" t="n">
        <v>-144564.14</v>
      </c>
      <c r="E24" s="52" t="n">
        <v>144564.14</v>
      </c>
    </row>
    <row r="25" hidden="1" outlineLevel="1" s="192">
      <c r="B25" s="54" t="inlineStr">
        <is>
          <t>Accr 11/23 Tax Increase</t>
        </is>
      </c>
      <c r="C25" s="54" t="inlineStr">
        <is>
          <t>11/25/2023</t>
        </is>
      </c>
      <c r="D25" s="56" t="n"/>
      <c r="E25" s="55" t="n">
        <v>86935.84</v>
      </c>
    </row>
    <row r="26" hidden="1" outlineLevel="1" s="192">
      <c r="B26" s="51" t="inlineStr">
        <is>
          <t>Reclass Dec Tax Exp fr PPD</t>
        </is>
      </c>
      <c r="C26" s="51" t="inlineStr">
        <is>
          <t>12/25/2023</t>
        </is>
      </c>
      <c r="D26" s="52" t="n">
        <v>-144564.14</v>
      </c>
      <c r="E26" s="52" t="n">
        <v>144564.14</v>
      </c>
    </row>
    <row r="27" hidden="1" outlineLevel="1" s="192">
      <c r="B27" s="54" t="inlineStr">
        <is>
          <t>Accr 12/23 Tax Increase</t>
        </is>
      </c>
      <c r="C27" s="54" t="inlineStr">
        <is>
          <t>12/25/2023</t>
        </is>
      </c>
      <c r="D27" s="56" t="n"/>
      <c r="E27" s="55" t="n">
        <v>86935.84</v>
      </c>
    </row>
    <row r="28" hidden="1" outlineLevel="1" s="192">
      <c r="B28" s="51" t="inlineStr">
        <is>
          <t>FY 24- Q3 Payment Covering Jan thru March 2024</t>
        </is>
      </c>
      <c r="C28" s="51" t="inlineStr">
        <is>
          <t>01/25/2024</t>
        </is>
      </c>
      <c r="D28" s="53" t="n"/>
      <c r="E28" s="52" t="n">
        <v>893567.25</v>
      </c>
    </row>
    <row r="29" hidden="1" outlineLevel="1" s="192">
      <c r="B29" s="54" t="inlineStr">
        <is>
          <t>RE Tax Accrual Adjustment - Q3-FY24</t>
        </is>
      </c>
      <c r="C29" s="54" t="n"/>
      <c r="D29" s="56" t="n"/>
      <c r="E29" s="55" t="n">
        <v>-229943.16</v>
      </c>
    </row>
    <row r="30" hidden="1" outlineLevel="1" s="192">
      <c r="B30" s="51" t="inlineStr">
        <is>
          <t>Reclass Feb -24 &amp; March 24</t>
        </is>
      </c>
      <c r="C30" s="51" t="n"/>
      <c r="D30" s="52" t="n">
        <v>595711.5</v>
      </c>
      <c r="E30" s="52" t="n">
        <v>-595711.5</v>
      </c>
    </row>
    <row r="31" hidden="1" outlineLevel="1" s="192">
      <c r="B31" s="54" t="inlineStr">
        <is>
          <t>RE Tax Accrual Adjustment</t>
        </is>
      </c>
      <c r="C31" s="54" t="n"/>
      <c r="D31" s="55" t="n">
        <v>-153295.44</v>
      </c>
      <c r="E31" s="55" t="n">
        <v>153295.44</v>
      </c>
    </row>
    <row r="32" hidden="1" outlineLevel="1" s="192">
      <c r="B32" s="51" t="inlineStr">
        <is>
          <t>Amortize Feb-24 RET Expense</t>
        </is>
      </c>
      <c r="C32" s="51" t="n"/>
      <c r="D32" s="52" t="n">
        <v>-297855.75</v>
      </c>
      <c r="E32" s="52" t="n">
        <v>297855.75</v>
      </c>
    </row>
    <row r="33" hidden="1" outlineLevel="1" s="192">
      <c r="B33" s="54" t="inlineStr">
        <is>
          <t>Feb-24 Tax Accrual Adjustment</t>
        </is>
      </c>
      <c r="C33" s="54" t="n"/>
      <c r="D33" s="55" t="n">
        <v>76647.72</v>
      </c>
      <c r="E33" s="55" t="n">
        <v>-76647.72</v>
      </c>
    </row>
    <row r="34" hidden="1" outlineLevel="1" s="192">
      <c r="B34" s="51" t="inlineStr">
        <is>
          <t>Amortize March-24 RET Expense</t>
        </is>
      </c>
      <c r="C34" s="51" t="n"/>
      <c r="D34" s="52" t="n">
        <v>-297855.75</v>
      </c>
      <c r="E34" s="52" t="n">
        <v>297855.75</v>
      </c>
    </row>
    <row r="35" hidden="1" outlineLevel="1" s="192">
      <c r="B35" s="54" t="inlineStr">
        <is>
          <t>Reverse Feb accrual adj to zero out</t>
        </is>
      </c>
      <c r="C35" s="54" t="n"/>
      <c r="D35" s="55" t="n">
        <v>76647.72</v>
      </c>
      <c r="E35" s="55" t="n">
        <v>-76647.72</v>
      </c>
    </row>
    <row r="36" hidden="1" outlineLevel="1" s="192">
      <c r="B36" s="51" t="inlineStr">
        <is>
          <t>FY 24- Q4 Payment Covering April thru June 2024</t>
        </is>
      </c>
      <c r="C36" s="51" t="inlineStr">
        <is>
          <t>04/05/2024</t>
        </is>
      </c>
      <c r="D36" s="53" t="n"/>
      <c r="E36" s="52" t="n">
        <v>893567.24</v>
      </c>
    </row>
    <row r="37" hidden="1" outlineLevel="1" s="192">
      <c r="B37" s="54" t="inlineStr">
        <is>
          <t>Reclass May -24 &amp; June 24</t>
        </is>
      </c>
      <c r="C37" s="54" t="n"/>
      <c r="D37" s="55" t="n">
        <v>595711.49</v>
      </c>
      <c r="E37" s="55" t="n">
        <v>-595711.49</v>
      </c>
    </row>
    <row r="38" hidden="1" outlineLevel="1" s="192">
      <c r="B38" s="51" t="inlineStr">
        <is>
          <t>RE Tax Accrual Adjustment - Q4-FY24</t>
        </is>
      </c>
      <c r="C38" s="51" t="n"/>
      <c r="D38" s="52" t="n">
        <v>-229943.16</v>
      </c>
      <c r="E38" s="53" t="n"/>
    </row>
    <row r="39" hidden="1" outlineLevel="1" s="192">
      <c r="B39" s="54" t="inlineStr">
        <is>
          <t>RE Tax due per 5.10.24 Loan Stmt</t>
        </is>
      </c>
      <c r="C39" s="54" t="n"/>
      <c r="D39" s="55" t="n">
        <v>76647.72</v>
      </c>
      <c r="E39" s="55" t="n">
        <v>-76647.72</v>
      </c>
    </row>
    <row r="40" hidden="1" outlineLevel="1" s="192">
      <c r="B40" s="51" t="inlineStr">
        <is>
          <t>Amortize 5.24 RET Expense (a)</t>
        </is>
      </c>
      <c r="C40" s="51" t="n"/>
      <c r="D40" s="52" t="n">
        <v>-297855.75</v>
      </c>
      <c r="E40" s="52" t="n">
        <v>297855.75</v>
      </c>
    </row>
    <row r="41" hidden="1" outlineLevel="1" s="192">
      <c r="B41" s="54" t="inlineStr">
        <is>
          <t>Amortize Q3-FY24 Accrual Adjustment (a)</t>
        </is>
      </c>
      <c r="C41" s="54" t="n"/>
      <c r="D41" s="55" t="n">
        <v>76647.72</v>
      </c>
      <c r="E41" s="55" t="n">
        <v>-76647.72</v>
      </c>
    </row>
    <row r="42" hidden="1" outlineLevel="1" s="192">
      <c r="B42" s="51" t="inlineStr">
        <is>
          <t>Amortize 5.24 RET Expense (b)</t>
        </is>
      </c>
      <c r="C42" s="51" t="n"/>
      <c r="D42" s="52" t="n">
        <v>-297855.74</v>
      </c>
      <c r="E42" s="52" t="n">
        <v>297855.74</v>
      </c>
    </row>
    <row r="43" hidden="1" outlineLevel="1" s="192">
      <c r="B43" s="54" t="inlineStr">
        <is>
          <t>Amortize Q3-FY24 Accrual Adjustment (b)</t>
        </is>
      </c>
      <c r="C43" s="54" t="n"/>
      <c r="D43" s="55" t="n">
        <v>76647.72</v>
      </c>
      <c r="E43" s="55" t="n">
        <v>-76647.72</v>
      </c>
    </row>
    <row r="44" hidden="1" outlineLevel="1" s="192">
      <c r="B44" s="51" t="inlineStr">
        <is>
          <t>RE Tax Payment FY 2025 (1st Quarter) July-Sept 2024</t>
        </is>
      </c>
      <c r="C44" s="51" t="inlineStr">
        <is>
          <t>07/25/2024</t>
        </is>
      </c>
      <c r="D44" s="53" t="n"/>
      <c r="E44" s="52" t="n">
        <v>680220.5699999999</v>
      </c>
    </row>
    <row r="45" hidden="1" outlineLevel="1" s="192">
      <c r="B45" s="54" t="inlineStr">
        <is>
          <t>Reclass Aug-Sept 2024 RE Tax</t>
        </is>
      </c>
      <c r="C45" s="54" t="inlineStr">
        <is>
          <t>07/25/2024</t>
        </is>
      </c>
      <c r="D45" s="55" t="n">
        <v>453480.38</v>
      </c>
      <c r="E45" s="55" t="n">
        <v>-453480.38</v>
      </c>
    </row>
    <row r="46" hidden="1" outlineLevel="1" s="192">
      <c r="B46" s="51" t="inlineStr">
        <is>
          <t>Amortize 8.24 RET Tax Expense</t>
        </is>
      </c>
      <c r="C46" s="51" t="inlineStr">
        <is>
          <t>08/25/2024</t>
        </is>
      </c>
      <c r="D46" s="52" t="n">
        <v>-226740.19</v>
      </c>
      <c r="E46" s="52" t="n">
        <v>226740.19</v>
      </c>
    </row>
    <row r="47" hidden="1" outlineLevel="1" s="192">
      <c r="B47" s="54" t="inlineStr">
        <is>
          <t>Amortize 09.24 RET Tax Expense</t>
        </is>
      </c>
      <c r="C47" s="54" t="inlineStr">
        <is>
          <t>09/25/2024</t>
        </is>
      </c>
      <c r="D47" s="55" t="n">
        <v>-226740.19</v>
      </c>
      <c r="E47" s="55" t="n">
        <v>226740.19</v>
      </c>
    </row>
    <row r="48" hidden="1" outlineLevel="1" s="192">
      <c r="B48" s="51" t="inlineStr">
        <is>
          <t>RE Tax Payment FY 2025 (2nd Quarter) Oct-Dec 2024</t>
        </is>
      </c>
      <c r="C48" s="51" t="inlineStr">
        <is>
          <t>10/17/2024</t>
        </is>
      </c>
      <c r="D48" s="53" t="n"/>
      <c r="E48" s="52" t="n">
        <v>680220.5699999999</v>
      </c>
    </row>
    <row r="49" hidden="1" outlineLevel="1" s="192">
      <c r="B49" s="54" t="inlineStr">
        <is>
          <t>Reclass Nov-Dec 2024 RE Tax</t>
        </is>
      </c>
      <c r="C49" s="54" t="inlineStr">
        <is>
          <t>10/25/2024</t>
        </is>
      </c>
      <c r="D49" s="55" t="n">
        <v>453480.38</v>
      </c>
      <c r="E49" s="55" t="n">
        <v>-453480.38</v>
      </c>
    </row>
    <row r="50" hidden="1" outlineLevel="1" s="192">
      <c r="B50" s="51" t="inlineStr">
        <is>
          <t>Amortize 11.24 RET Tax Expense</t>
        </is>
      </c>
      <c r="C50" s="51" t="inlineStr">
        <is>
          <t>11/25/2024</t>
        </is>
      </c>
      <c r="D50" s="52" t="n">
        <v>-226740.19</v>
      </c>
      <c r="E50" s="52" t="n">
        <v>226740.19</v>
      </c>
    </row>
    <row r="51" hidden="1" outlineLevel="1" s="192">
      <c r="B51" s="54" t="inlineStr">
        <is>
          <t>Amortize 12.24 RET Tax Expense</t>
        </is>
      </c>
      <c r="C51" s="54" t="inlineStr">
        <is>
          <t>12/25/2024</t>
        </is>
      </c>
      <c r="D51" s="55" t="n">
        <v>-226740.19</v>
      </c>
      <c r="E51" s="55" t="n">
        <v>226740.19</v>
      </c>
    </row>
    <row r="52" hidden="1" outlineLevel="1" s="192">
      <c r="B52" s="51" t="inlineStr">
        <is>
          <t>Accr: True-up the RE Tax expense</t>
        </is>
      </c>
      <c r="C52" s="51" t="inlineStr">
        <is>
          <t>12/25/2024</t>
        </is>
      </c>
      <c r="D52" s="53" t="n"/>
      <c r="E52" s="52" t="n">
        <v>1301023.33</v>
      </c>
    </row>
    <row r="53" hidden="1" outlineLevel="1" s="192">
      <c r="B53" s="54" t="inlineStr">
        <is>
          <t>RE Tax Payment FY 2025 (3rd Quarter) Jan - Mar 2025</t>
        </is>
      </c>
      <c r="C53" s="54" t="inlineStr">
        <is>
          <t>01/16/2025</t>
        </is>
      </c>
      <c r="D53" s="56" t="n"/>
      <c r="E53" s="55" t="n">
        <v>651404.28</v>
      </c>
    </row>
    <row r="54" hidden="1" outlineLevel="1" s="192">
      <c r="B54" s="51" t="inlineStr">
        <is>
          <t>Reclass Feb-Mar 2025 RE Tax</t>
        </is>
      </c>
      <c r="C54" s="51" t="inlineStr">
        <is>
          <t>01/25/2025</t>
        </is>
      </c>
      <c r="D54" s="52" t="n">
        <v>434269.52</v>
      </c>
      <c r="E54" s="52" t="n">
        <v>-434269.52</v>
      </c>
    </row>
    <row r="55" hidden="1" outlineLevel="1" s="192">
      <c r="B55" s="54" t="inlineStr">
        <is>
          <t>Amort: Feb 2025 RE Tax</t>
        </is>
      </c>
      <c r="C55" s="54" t="inlineStr">
        <is>
          <t>02/25/2025</t>
        </is>
      </c>
      <c r="D55" s="55" t="n">
        <v>-217134.76</v>
      </c>
      <c r="E55" s="55" t="n">
        <v>217134.76</v>
      </c>
    </row>
    <row r="56" hidden="1" outlineLevel="1" s="192">
      <c r="B56" s="51" t="inlineStr">
        <is>
          <t>Amort: Mar 2025 RE Tax</t>
        </is>
      </c>
      <c r="C56" s="51" t="inlineStr">
        <is>
          <t>03/25/2025</t>
        </is>
      </c>
      <c r="D56" s="52" t="n">
        <v>-217134.76</v>
      </c>
      <c r="E56" s="52" t="n">
        <v>217134.76</v>
      </c>
    </row>
    <row r="57" hidden="1" outlineLevel="1" s="192">
      <c r="B57" s="54" t="inlineStr">
        <is>
          <t>RE Tax Payment FY 2025 (4th Quarter) April - June 2025</t>
        </is>
      </c>
      <c r="C57" s="54" t="inlineStr">
        <is>
          <t>04/16/2025</t>
        </is>
      </c>
      <c r="D57" s="56" t="n"/>
      <c r="E57" s="55" t="n">
        <v>651404.28</v>
      </c>
    </row>
    <row r="58" hidden="1" outlineLevel="1" s="192">
      <c r="B58" s="51" t="inlineStr">
        <is>
          <t>Reclass May-June 2025 RE Tax</t>
        </is>
      </c>
      <c r="C58" s="51" t="inlineStr">
        <is>
          <t>04/25/2025</t>
        </is>
      </c>
      <c r="D58" s="52" t="n">
        <v>434269.52</v>
      </c>
      <c r="E58" s="52" t="n">
        <v>-434269.52</v>
      </c>
    </row>
    <row r="59" hidden="1" outlineLevel="1" s="192">
      <c r="B59" s="54" t="inlineStr">
        <is>
          <t>Amort: May 2025 RE Tax</t>
        </is>
      </c>
      <c r="C59" s="54" t="inlineStr">
        <is>
          <t>05/25/2025</t>
        </is>
      </c>
      <c r="D59" s="55" t="n">
        <v>-217134.76</v>
      </c>
      <c r="E59" s="55" t="n">
        <v>217134.76</v>
      </c>
    </row>
    <row r="60" hidden="1" outlineLevel="1" s="192">
      <c r="B60" s="51" t="inlineStr">
        <is>
          <t>Amort: June 2025 RE Tax</t>
        </is>
      </c>
      <c r="C60" s="51" t="inlineStr">
        <is>
          <t>06/25/2025</t>
        </is>
      </c>
      <c r="D60" s="52" t="n">
        <v>-217134.76</v>
      </c>
      <c r="E60" s="52" t="n">
        <v>217134.76</v>
      </c>
    </row>
    <row r="61" hidden="1" outlineLevel="1" s="192">
      <c r="B61" s="54" t="inlineStr">
        <is>
          <t>RE Tax Payment FY 2025 (4th Quarter) July - Sep 2025</t>
        </is>
      </c>
      <c r="C61" s="54" t="inlineStr">
        <is>
          <t>07/17/2025</t>
        </is>
      </c>
      <c r="D61" s="56" t="n"/>
      <c r="E61" s="55" t="n">
        <v>682444.67</v>
      </c>
    </row>
    <row r="62" hidden="1" outlineLevel="1" s="192">
      <c r="B62" s="51" t="inlineStr">
        <is>
          <t>Reclass Aug-Sep 2025 RE Tax</t>
        </is>
      </c>
      <c r="C62" s="51" t="inlineStr">
        <is>
          <t>07/25/2025</t>
        </is>
      </c>
      <c r="D62" s="52" t="n">
        <v>454963.11</v>
      </c>
      <c r="E62" s="52" t="n">
        <v>-454963.11</v>
      </c>
    </row>
    <row r="63" hidden="1" outlineLevel="1" s="192">
      <c r="B63" s="54" t="inlineStr">
        <is>
          <t>Amort: Aug 2025 RE Tax</t>
        </is>
      </c>
      <c r="C63" s="54" t="inlineStr">
        <is>
          <t>08/25/2025</t>
        </is>
      </c>
      <c r="D63" s="55" t="n">
        <v>-227481.56</v>
      </c>
      <c r="E63" s="55" t="n">
        <v>227481.56</v>
      </c>
    </row>
    <row r="64" hidden="1" outlineLevel="1" s="192">
      <c r="B64" s="51" t="inlineStr">
        <is>
          <t>Amort: Sep 2025 RE Tax</t>
        </is>
      </c>
      <c r="C64" s="51" t="inlineStr">
        <is>
          <t>09/25/2025</t>
        </is>
      </c>
      <c r="D64" s="52" t="n">
        <v>-227481.55</v>
      </c>
      <c r="E64" s="52" t="n">
        <v>227481.55</v>
      </c>
    </row>
    <row r="65" hidden="1" outlineLevel="1" s="192">
      <c r="B65" s="54" t="inlineStr">
        <is>
          <t>RE Tax Payment FY 2025 (4th Quarter) Oct - Dec 2025</t>
        </is>
      </c>
      <c r="C65" s="54" t="inlineStr">
        <is>
          <t>10/25/2025</t>
        </is>
      </c>
      <c r="D65" s="56" t="n"/>
      <c r="E65" s="55" t="n">
        <v>682457.73</v>
      </c>
    </row>
    <row r="66" hidden="1" outlineLevel="1" s="192">
      <c r="B66" s="51" t="inlineStr">
        <is>
          <t>Reclass Nov-Dec 2025 RE Tax</t>
        </is>
      </c>
      <c r="C66" s="51" t="inlineStr">
        <is>
          <t>10/25/2025</t>
        </is>
      </c>
      <c r="D66" s="52" t="n">
        <v>454971.82</v>
      </c>
      <c r="E66" s="52" t="n">
        <v>-454971.82</v>
      </c>
    </row>
    <row r="67" hidden="1" outlineLevel="1" s="192">
      <c r="B67" s="54" t="inlineStr">
        <is>
          <t>Amort: Nov 2025 RE Tax</t>
        </is>
      </c>
      <c r="C67" s="54" t="inlineStr">
        <is>
          <t>11/25/2025</t>
        </is>
      </c>
      <c r="D67" s="55" t="n">
        <v>-227485.91</v>
      </c>
      <c r="E67" s="55" t="n">
        <v>227485.91</v>
      </c>
    </row>
    <row r="68" hidden="1" outlineLevel="1" s="192">
      <c r="B68" s="51" t="inlineStr">
        <is>
          <t>Amort: Dec 2025 RE Tax</t>
        </is>
      </c>
      <c r="C68" s="51" t="inlineStr">
        <is>
          <t>12/25/2025</t>
        </is>
      </c>
      <c r="D68" s="52" t="n">
        <v>-227485.91</v>
      </c>
      <c r="E68" s="52" t="n">
        <v>227485.91</v>
      </c>
    </row>
    <row r="69" collapsed="1" s="192">
      <c r="B69" s="54" t="inlineStr">
        <is>
          <t>RE Tax Payment FY 2026 (1st Quarter) Jan - March 2026</t>
        </is>
      </c>
      <c r="C69" s="179" t="inlineStr">
        <is>
          <t>01/25/2026</t>
        </is>
      </c>
      <c r="D69" s="56" t="n"/>
      <c r="E69" s="55" t="n">
        <v>498494.07</v>
      </c>
    </row>
    <row r="70">
      <c r="B70" s="51" t="inlineStr">
        <is>
          <t>Reclass Feb-March 2026 RE Tax</t>
        </is>
      </c>
      <c r="C70" s="178" t="inlineStr">
        <is>
          <t>01/25/2026</t>
        </is>
      </c>
      <c r="D70" s="52" t="n">
        <v>332329.38</v>
      </c>
      <c r="E70" s="52" t="n">
        <v>-332329.38</v>
      </c>
    </row>
    <row r="71">
      <c r="B71" s="79" t="inlineStr">
        <is>
          <t>PARCEL ID:  R0140050002</t>
        </is>
      </c>
    </row>
    <row r="72" hidden="1" outlineLevel="1" s="192">
      <c r="B72" s="51" t="inlineStr">
        <is>
          <t>4QTR Payment by Client covering Jan thru March</t>
        </is>
      </c>
      <c r="C72" s="51" t="inlineStr">
        <is>
          <t>01/25/2024</t>
        </is>
      </c>
      <c r="D72" s="53" t="n"/>
      <c r="E72" s="52" t="n">
        <v>206.01</v>
      </c>
    </row>
    <row r="73" hidden="1" outlineLevel="1" s="192">
      <c r="B73" s="54" t="inlineStr">
        <is>
          <t>Reclass Feb &amp; March 2024 to PPD</t>
        </is>
      </c>
      <c r="C73" s="54" t="inlineStr">
        <is>
          <t>01/25/2024</t>
        </is>
      </c>
      <c r="D73" s="55" t="n">
        <v>137.34</v>
      </c>
      <c r="E73" s="55" t="n">
        <v>-137.34</v>
      </c>
    </row>
    <row r="74" hidden="1" outlineLevel="1" s="192">
      <c r="B74" s="51" t="inlineStr">
        <is>
          <t>Reclass Feb Tax Exp fr PPD (R2)</t>
        </is>
      </c>
      <c r="C74" s="51" t="inlineStr">
        <is>
          <t>02/25/2023</t>
        </is>
      </c>
      <c r="D74" s="52" t="n">
        <v>-68.67</v>
      </c>
      <c r="E74" s="52" t="n">
        <v>68.67</v>
      </c>
    </row>
    <row r="75" hidden="1" outlineLevel="1" s="192">
      <c r="B75" s="54" t="inlineStr">
        <is>
          <t>Reclass Mar Tax Exp fr PPD (R2)</t>
        </is>
      </c>
      <c r="C75" s="54" t="inlineStr">
        <is>
          <t>03/25/2023</t>
        </is>
      </c>
      <c r="D75" s="55" t="n">
        <v>-68.67</v>
      </c>
      <c r="E75" s="55" t="n">
        <v>68.67</v>
      </c>
    </row>
    <row r="76" hidden="1" outlineLevel="1" s="192">
      <c r="B76" s="51" t="inlineStr">
        <is>
          <t>FY24-Q4 WALTHAM</t>
        </is>
      </c>
      <c r="C76" s="51" t="inlineStr">
        <is>
          <t>04/25/2024</t>
        </is>
      </c>
      <c r="D76" s="53" t="n"/>
      <c r="E76" s="52" t="n">
        <v>206</v>
      </c>
    </row>
    <row r="77" hidden="1" outlineLevel="1" s="192">
      <c r="B77" s="54" t="inlineStr">
        <is>
          <t>Reclass May &amp; June 2024 to PPD</t>
        </is>
      </c>
      <c r="C77" s="54" t="inlineStr">
        <is>
          <t>04/25/2024</t>
        </is>
      </c>
      <c r="D77" s="55" t="n">
        <v>137.33</v>
      </c>
      <c r="E77" s="55" t="n">
        <v>-137.33</v>
      </c>
    </row>
    <row r="78" hidden="1" outlineLevel="1" s="192">
      <c r="B78" s="51" t="inlineStr">
        <is>
          <t>Amortize May-2024 Exp</t>
        </is>
      </c>
      <c r="C78" s="51" t="inlineStr">
        <is>
          <t>05/25/2024</t>
        </is>
      </c>
      <c r="D78" s="52" t="n">
        <v>-68.67</v>
      </c>
      <c r="E78" s="52" t="n">
        <v>68.67</v>
      </c>
    </row>
    <row r="79" hidden="1" outlineLevel="1" s="192">
      <c r="B79" s="54" t="inlineStr">
        <is>
          <t>Amortize June-2024 Exp</t>
        </is>
      </c>
      <c r="C79" s="54" t="inlineStr">
        <is>
          <t>05/25/2024</t>
        </is>
      </c>
      <c r="D79" s="55" t="n">
        <v>-68.67</v>
      </c>
      <c r="E79" s="55" t="n">
        <v>68.67</v>
      </c>
    </row>
    <row r="80" hidden="1" outlineLevel="1" s="192">
      <c r="B80" s="51" t="inlineStr">
        <is>
          <t>Massachusetts Appellate Tax Board payment</t>
        </is>
      </c>
      <c r="C80" s="51" t="inlineStr">
        <is>
          <t>06/25/2024</t>
        </is>
      </c>
      <c r="D80" s="53" t="n"/>
      <c r="E80" s="52" t="n">
        <v>5000</v>
      </c>
    </row>
    <row r="81" hidden="1" outlineLevel="1" s="192">
      <c r="B81" s="54" t="inlineStr">
        <is>
          <t>FY25-Q1 WALTHAM</t>
        </is>
      </c>
      <c r="C81" s="54" t="inlineStr">
        <is>
          <t>07/25/2024</t>
        </is>
      </c>
      <c r="D81" s="56" t="n"/>
      <c r="E81" s="55" t="n">
        <v>200.27</v>
      </c>
    </row>
    <row r="82" hidden="1" outlineLevel="1" s="192">
      <c r="B82" s="51" t="inlineStr">
        <is>
          <t>Reclass Aug &amp; Sept 2024 to PPD</t>
        </is>
      </c>
      <c r="C82" s="51" t="inlineStr">
        <is>
          <t>07/25/2024</t>
        </is>
      </c>
      <c r="D82" s="52" t="n">
        <v>133.51</v>
      </c>
      <c r="E82" s="52" t="n">
        <v>-133.51</v>
      </c>
    </row>
    <row r="83" hidden="1" outlineLevel="1" s="192">
      <c r="B83" s="54" t="inlineStr">
        <is>
          <t>Amortize 8.2024 RET Tax Expense</t>
        </is>
      </c>
      <c r="C83" s="54" t="inlineStr">
        <is>
          <t>08/25/2024</t>
        </is>
      </c>
      <c r="D83" s="55" t="n">
        <v>-66.76000000000001</v>
      </c>
      <c r="E83" s="55" t="n">
        <v>66.76000000000001</v>
      </c>
    </row>
    <row r="84" hidden="1" outlineLevel="1" s="192">
      <c r="B84" s="51" t="inlineStr">
        <is>
          <t>Amortize 09.2024 RET Tax Expense</t>
        </is>
      </c>
      <c r="C84" s="51" t="inlineStr">
        <is>
          <t>09/25/2024</t>
        </is>
      </c>
      <c r="D84" s="52" t="n">
        <v>-66.75</v>
      </c>
      <c r="E84" s="52" t="n">
        <v>66.75</v>
      </c>
    </row>
    <row r="85" hidden="1" outlineLevel="1" s="192">
      <c r="B85" s="54" t="inlineStr">
        <is>
          <t>FY25-Q2 WALTHAM</t>
        </is>
      </c>
      <c r="C85" s="54" t="inlineStr">
        <is>
          <t>10/17/2024</t>
        </is>
      </c>
      <c r="D85" s="56" t="n"/>
      <c r="E85" s="55" t="n">
        <v>200.27</v>
      </c>
    </row>
    <row r="86" hidden="1" outlineLevel="1" s="192">
      <c r="B86" s="51" t="inlineStr">
        <is>
          <t>Reclass Nov-Dec 2024 to PPD</t>
        </is>
      </c>
      <c r="C86" s="51" t="inlineStr">
        <is>
          <t>10/25/2024</t>
        </is>
      </c>
      <c r="D86" s="52" t="n">
        <v>133.51</v>
      </c>
      <c r="E86" s="52" t="n">
        <v>-133.51</v>
      </c>
    </row>
    <row r="87" hidden="1" outlineLevel="1" s="192">
      <c r="B87" s="54" t="inlineStr">
        <is>
          <t>Amortize 11.2024 RET Tax Expense</t>
        </is>
      </c>
      <c r="C87" s="54" t="inlineStr">
        <is>
          <t>11/25/2024</t>
        </is>
      </c>
      <c r="D87" s="55" t="n">
        <v>-66.75</v>
      </c>
      <c r="E87" s="55" t="n">
        <v>66.75</v>
      </c>
    </row>
    <row r="88" hidden="1" outlineLevel="1" s="192">
      <c r="B88" s="51" t="inlineStr">
        <is>
          <t>Amortize 12.2024 RET Tax Expense</t>
        </is>
      </c>
      <c r="C88" s="51" t="inlineStr">
        <is>
          <t>12/25/2024</t>
        </is>
      </c>
      <c r="D88" s="52" t="n">
        <v>-66.76000000000001</v>
      </c>
      <c r="E88" s="52" t="n">
        <v>66.76000000000001</v>
      </c>
    </row>
    <row r="89" hidden="1" outlineLevel="1" s="192">
      <c r="B89" s="54" t="inlineStr">
        <is>
          <t>FY25-Q3 WALTHAM</t>
        </is>
      </c>
      <c r="C89" s="54" t="inlineStr">
        <is>
          <t>01/16/2025</t>
        </is>
      </c>
      <c r="D89" s="56" t="n"/>
      <c r="E89" s="55" t="n">
        <v>226.41</v>
      </c>
    </row>
    <row r="90" hidden="1" outlineLevel="1" s="192">
      <c r="B90" s="51" t="inlineStr">
        <is>
          <t>Reclass Feb-Mar 2025 RE Tax (R2)</t>
        </is>
      </c>
      <c r="C90" s="51" t="inlineStr">
        <is>
          <t>01/25/2025</t>
        </is>
      </c>
      <c r="D90" s="52" t="n">
        <v>150.94</v>
      </c>
      <c r="E90" s="52" t="n">
        <v>-150.94</v>
      </c>
    </row>
    <row r="91" hidden="1" outlineLevel="1" s="192">
      <c r="B91" s="54" t="inlineStr">
        <is>
          <t>Amort: Feb 2025 RE Tax (R2)</t>
        </is>
      </c>
      <c r="C91" s="54" t="inlineStr">
        <is>
          <t>02/25/2025</t>
        </is>
      </c>
      <c r="D91" s="55" t="n">
        <v>-75.47</v>
      </c>
      <c r="E91" s="55" t="n">
        <v>75.47</v>
      </c>
    </row>
    <row r="92" hidden="1" outlineLevel="1" s="192">
      <c r="B92" s="51" t="inlineStr">
        <is>
          <t>Amort: Mar 2025 RE Tax (R2)</t>
        </is>
      </c>
      <c r="C92" s="51" t="inlineStr">
        <is>
          <t>03/25/2025</t>
        </is>
      </c>
      <c r="D92" s="52" t="n">
        <v>-75.47</v>
      </c>
      <c r="E92" s="52" t="n">
        <v>75.47</v>
      </c>
    </row>
    <row r="93" hidden="1" outlineLevel="1" s="192">
      <c r="B93" s="54" t="inlineStr">
        <is>
          <t>FY25-Q4 WALTHAM</t>
        </is>
      </c>
      <c r="C93" s="54" t="inlineStr">
        <is>
          <t>04/16/2025</t>
        </is>
      </c>
      <c r="D93" s="56" t="n"/>
      <c r="E93" s="55" t="n">
        <v>226.41</v>
      </c>
    </row>
    <row r="94" hidden="1" outlineLevel="1" s="192">
      <c r="B94" s="51" t="inlineStr">
        <is>
          <t>Reclass May-June 2025 RE Tax (R2)</t>
        </is>
      </c>
      <c r="C94" s="51" t="inlineStr">
        <is>
          <t>04/25/2025</t>
        </is>
      </c>
      <c r="D94" s="52" t="n">
        <v>150.94</v>
      </c>
      <c r="E94" s="52" t="n">
        <v>-150.94</v>
      </c>
    </row>
    <row r="95" hidden="1" outlineLevel="1" s="192">
      <c r="B95" s="54" t="inlineStr">
        <is>
          <t>Amort: May 2025 RE Tax (R2)</t>
        </is>
      </c>
      <c r="C95" s="54" t="inlineStr">
        <is>
          <t>05/25/2025</t>
        </is>
      </c>
      <c r="D95" s="55" t="n">
        <v>-75.47</v>
      </c>
      <c r="E95" s="55" t="n">
        <v>75.47</v>
      </c>
    </row>
    <row r="96" hidden="1" outlineLevel="1" s="192">
      <c r="B96" s="51" t="inlineStr">
        <is>
          <t>Amort: June 2025 RE Tax (R2)</t>
        </is>
      </c>
      <c r="C96" s="51" t="inlineStr">
        <is>
          <t>06/25/2025</t>
        </is>
      </c>
      <c r="D96" s="52" t="n">
        <v>-75.47</v>
      </c>
      <c r="E96" s="52" t="n">
        <v>75.47</v>
      </c>
    </row>
    <row r="97" hidden="1" outlineLevel="1" s="192">
      <c r="B97" s="54" t="inlineStr">
        <is>
          <t>Tax Board Filing Fee 2025</t>
        </is>
      </c>
      <c r="C97" s="54" t="inlineStr">
        <is>
          <t>06/25/2025</t>
        </is>
      </c>
      <c r="D97" s="56" t="n"/>
      <c r="E97" s="55" t="n">
        <v>5000</v>
      </c>
    </row>
    <row r="98" hidden="1" outlineLevel="1" s="192">
      <c r="B98" s="51" t="inlineStr">
        <is>
          <t>RE Tax Payment July - Sep 2025 (R2)</t>
        </is>
      </c>
      <c r="C98" s="51" t="inlineStr">
        <is>
          <t>07/17/2025</t>
        </is>
      </c>
      <c r="D98" s="53" t="n"/>
      <c r="E98" s="52" t="n">
        <v>226.41</v>
      </c>
    </row>
    <row r="99" hidden="1" outlineLevel="1" s="192">
      <c r="B99" s="54" t="inlineStr">
        <is>
          <t>Reclass Aug-Sep 2025 RE Tax (R2)</t>
        </is>
      </c>
      <c r="C99" s="54" t="inlineStr">
        <is>
          <t>07/25/2025</t>
        </is>
      </c>
      <c r="D99" s="55" t="n">
        <v>150.94</v>
      </c>
      <c r="E99" s="55" t="n">
        <v>-150.94</v>
      </c>
    </row>
    <row r="100" hidden="1" outlineLevel="1" s="192">
      <c r="B100" s="51" t="inlineStr">
        <is>
          <t>Amort: Aug 2025 RE Tax (R2)</t>
        </is>
      </c>
      <c r="C100" s="51" t="inlineStr">
        <is>
          <t>08/25/2025</t>
        </is>
      </c>
      <c r="D100" s="52" t="n">
        <v>-75.47</v>
      </c>
      <c r="E100" s="52" t="n">
        <v>75.47</v>
      </c>
    </row>
    <row r="101" hidden="1" outlineLevel="1" s="192">
      <c r="B101" s="54" t="inlineStr">
        <is>
          <t>Amort: Sep 2025 RE Tax (R2)</t>
        </is>
      </c>
      <c r="C101" s="54" t="inlineStr">
        <is>
          <t>09/25/2025</t>
        </is>
      </c>
      <c r="D101" s="55" t="n">
        <v>-75.47</v>
      </c>
      <c r="E101" s="55" t="n">
        <v>75.47</v>
      </c>
    </row>
    <row r="102" hidden="1" outlineLevel="1" s="192">
      <c r="B102" s="51" t="inlineStr">
        <is>
          <t>RE Tax Payment Oct - Dec 2025 (R2)</t>
        </is>
      </c>
      <c r="C102" s="51" t="inlineStr">
        <is>
          <t>10/25/2025</t>
        </is>
      </c>
      <c r="D102" s="53" t="n"/>
      <c r="E102" s="52" t="n">
        <v>213.34</v>
      </c>
    </row>
    <row r="103" hidden="1" outlineLevel="1" s="192">
      <c r="B103" s="54" t="inlineStr">
        <is>
          <t>Reclass Nov-Dec 2025 RE Tax (R2)</t>
        </is>
      </c>
      <c r="C103" s="54" t="inlineStr">
        <is>
          <t>10/25/2025</t>
        </is>
      </c>
      <c r="D103" s="55" t="n">
        <v>142.23</v>
      </c>
      <c r="E103" s="55" t="n">
        <v>-142.23</v>
      </c>
    </row>
    <row r="104" hidden="1" outlineLevel="1" s="192">
      <c r="B104" s="51" t="inlineStr">
        <is>
          <t>Amort: Nov 2025 RE Tax (R2)</t>
        </is>
      </c>
      <c r="C104" s="51" t="inlineStr">
        <is>
          <t>11/25/2025</t>
        </is>
      </c>
      <c r="D104" s="52" t="n">
        <v>-71.11</v>
      </c>
      <c r="E104" s="52" t="n">
        <v>71.11</v>
      </c>
    </row>
    <row r="105" hidden="1" outlineLevel="1" s="192">
      <c r="B105" s="54" t="inlineStr">
        <is>
          <t>Amort: Dec 2025 RE Tax (R2)</t>
        </is>
      </c>
      <c r="C105" s="54" t="inlineStr">
        <is>
          <t>12/25/2025</t>
        </is>
      </c>
      <c r="D105" s="55" t="n">
        <v>-71.12</v>
      </c>
      <c r="E105" s="55" t="n">
        <v>71.12</v>
      </c>
    </row>
    <row r="106" collapsed="1" s="192">
      <c r="B106" s="51" t="inlineStr">
        <is>
          <t>RE Tax Payment FY 2026 Jan - March 2026 (R2)</t>
        </is>
      </c>
      <c r="C106" s="178" t="n">
        <v>46047</v>
      </c>
      <c r="D106" s="53" t="n"/>
      <c r="E106" s="52" t="n">
        <v>256.74</v>
      </c>
    </row>
    <row r="107">
      <c r="B107" s="54" t="inlineStr">
        <is>
          <t>Reclass Feb-March 2026 RE Tax (R2)</t>
        </is>
      </c>
      <c r="C107" s="179" t="n">
        <v>46047</v>
      </c>
      <c r="D107" s="55" t="n">
        <v>171.16</v>
      </c>
      <c r="E107" s="55" t="n">
        <v>-171.16</v>
      </c>
    </row>
    <row r="108" ht="15" customHeight="1" s="192" thickBot="1"/>
    <row r="109">
      <c r="B109" s="168" t="inlineStr">
        <is>
          <t>Ending Balance per GL</t>
        </is>
      </c>
      <c r="C109" s="169" t="n"/>
      <c r="D109" s="189">
        <f>SUM(D72:D107,D8:D70)</f>
        <v/>
      </c>
      <c r="E109" s="189">
        <f>SUM(E69:E70,E106:E107)</f>
        <v/>
      </c>
    </row>
    <row r="110">
      <c r="B110" s="111" t="inlineStr">
        <is>
          <t>Ending Balance per TB</t>
        </is>
      </c>
      <c r="C110" s="180" t="n"/>
      <c r="D110" s="88">
        <f>VLOOKUP(D5,'Trial Balance'!$A:$F,6,0)</f>
        <v/>
      </c>
      <c r="E110" s="88">
        <f>VLOOKUP(E5,'Trial Balance'!$A:$F,6,0)</f>
        <v/>
      </c>
    </row>
    <row r="111">
      <c r="B111" s="86" t="inlineStr">
        <is>
          <t>Variance</t>
        </is>
      </c>
      <c r="C111" s="256" t="n"/>
      <c r="D111" s="97">
        <f>D109-D110</f>
        <v/>
      </c>
      <c r="E111" s="97">
        <f>E109-E110</f>
        <v/>
      </c>
    </row>
    <row r="112">
      <c r="D112" s="50" t="n"/>
    </row>
    <row r="114">
      <c r="B114" s="57" t="n"/>
      <c r="E114" s="50" t="n"/>
    </row>
    <row r="115">
      <c r="E115" s="50" t="n"/>
    </row>
  </sheetData>
  <mergeCells count="4">
    <mergeCell ref="B7:E7"/>
    <mergeCell ref="B3:D3"/>
    <mergeCell ref="B71:E71"/>
    <mergeCell ref="B111:C1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0070C0"/>
    <outlinePr summaryBelow="1" summaryRight="1"/>
    <pageSetUpPr/>
  </sheetPr>
  <dimension ref="B1:K14"/>
  <sheetViews>
    <sheetView workbookViewId="0">
      <pane xSplit="1" ySplit="5" topLeftCell="B6" activePane="bottomRight" state="frozen"/>
      <selection activeCell="B71" sqref="B71:E71"/>
      <selection pane="topRight" activeCell="B71" sqref="B71:E71"/>
      <selection pane="bottomLeft" activeCell="B71" sqref="B71:E71"/>
      <selection pane="bottomRight" activeCell="J12" sqref="I12:J12"/>
    </sheetView>
  </sheetViews>
  <sheetFormatPr baseColWidth="8" defaultRowHeight="14.4"/>
  <cols>
    <col width="2" customWidth="1" style="192" min="1" max="1"/>
    <col width="38" customWidth="1" style="192" min="2" max="2"/>
    <col width="24" customWidth="1" style="192" min="3" max="3"/>
    <col width="14" customWidth="1" style="192" min="4" max="4"/>
    <col width="14" customWidth="1" style="192" min="5" max="6"/>
    <col width="12" customWidth="1" style="192" min="7" max="7"/>
    <col width="14" customWidth="1" style="192" min="8" max="8"/>
    <col width="18.5546875" bestFit="1" customWidth="1" style="192" min="9" max="9"/>
    <col width="25.5546875" bestFit="1" customWidth="1" style="192" min="10" max="10"/>
    <col width="18" bestFit="1" customWidth="1" style="192" min="11" max="11"/>
  </cols>
  <sheetData>
    <row r="1" ht="18" customHeight="1" s="192">
      <c r="B1" s="98" t="inlineStr">
        <is>
          <t>Revolution Labs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</row>
    <row r="2" ht="18" customHeight="1" s="192">
      <c r="B2" s="98" t="inlineStr">
        <is>
          <t>Insurance Analysis</t>
        </is>
      </c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</row>
    <row r="3">
      <c r="B3" s="138" t="inlineStr">
        <is>
          <t>revlabs  |  Period: Jan-2026  |  Prepared: 05/12/2026</t>
        </is>
      </c>
      <c r="E3" s="138" t="n"/>
      <c r="F3" s="138" t="n"/>
      <c r="G3" s="138" t="n"/>
      <c r="H3" s="138" t="n"/>
      <c r="I3" s="138" t="n"/>
      <c r="J3" s="138" t="n"/>
      <c r="K3" s="138" t="n"/>
    </row>
    <row r="5" ht="18.6" customHeight="1" s="192">
      <c r="B5" s="170" t="inlineStr">
        <is>
          <t>Policy Type / Description</t>
        </is>
      </c>
      <c r="C5" s="171" t="inlineStr">
        <is>
          <t>Term</t>
        </is>
      </c>
      <c r="D5" s="171" t="inlineStr">
        <is>
          <t>Total Premium</t>
        </is>
      </c>
      <c r="E5" s="171" t="inlineStr">
        <is>
          <t>Start Date</t>
        </is>
      </c>
      <c r="F5" s="170" t="inlineStr">
        <is>
          <t>End Date</t>
        </is>
      </c>
      <c r="G5" s="171" t="inlineStr">
        <is>
          <t>Per Month</t>
        </is>
      </c>
      <c r="H5" s="171" t="inlineStr">
        <is>
          <t>Months Amort.</t>
        </is>
      </c>
      <c r="I5" s="171" t="inlineStr">
        <is>
          <t>639110</t>
        </is>
      </c>
      <c r="J5" s="171" t="inlineStr">
        <is>
          <t>639120</t>
        </is>
      </c>
      <c r="K5" s="171" t="inlineStr">
        <is>
          <t>135110</t>
        </is>
      </c>
    </row>
    <row r="6">
      <c r="B6" s="170" t="n"/>
      <c r="C6" s="172" t="n"/>
      <c r="D6" s="171" t="n"/>
      <c r="E6" s="171" t="n"/>
      <c r="F6" s="170" t="n"/>
      <c r="G6" s="172" t="n"/>
      <c r="H6" s="171" t="n"/>
      <c r="I6" s="171" t="inlineStr">
        <is>
          <t>Insurance - Property</t>
        </is>
      </c>
      <c r="J6" s="171" t="inlineStr">
        <is>
          <t>Insurance - General Liability</t>
        </is>
      </c>
      <c r="K6" s="171" t="inlineStr">
        <is>
          <t>Prepaid Insurance</t>
        </is>
      </c>
    </row>
    <row r="7">
      <c r="B7" s="51" t="inlineStr">
        <is>
          <t>Property</t>
        </is>
      </c>
      <c r="C7" s="51" t="inlineStr">
        <is>
          <t>6/12/2025- 6/12/2026</t>
        </is>
      </c>
      <c r="D7" s="173" t="n">
        <v>48453.34</v>
      </c>
      <c r="E7" s="178" t="n">
        <v>45820</v>
      </c>
      <c r="F7" s="178" t="n">
        <v>46185</v>
      </c>
      <c r="G7" s="173">
        <f>D7/DATEDIF(E7,F7,"M")</f>
        <v/>
      </c>
      <c r="H7" s="173">
        <f>IF(OR(E7="",F7=""),0,IF('Summary Page'!$C$4&lt;E7,0,IF('Summary Page'!$C$4&gt;=F7,D7,MIN(DATEDIF(DATE(YEAR(E7),MONTH(E7),1),'Summary Page'!$C$4,"M")+1,DATEDIF(E7,F7+1,"M"))*G7-IF(DAY(E7)&gt;1,G7*(DAY(E7)-1)/DAY(EOMONTH(E7,0)),0)-IF('Summary Page'!$C$4&gt;=DATE(YEAR(F7),MONTH(F7),1),IF(DAY(F7)&lt;DAY(EOMONTH(F7,0)),G7*(DAY(EOMONTH(F7,0))-DAY(F7))/DAY(EOMONTH(F7,0)),0),0))))</f>
        <v/>
      </c>
      <c r="I7" s="173">
        <f>G7</f>
        <v/>
      </c>
      <c r="J7" s="173" t="n"/>
      <c r="K7" s="173">
        <f>D7-H7</f>
        <v/>
      </c>
    </row>
    <row r="8">
      <c r="B8" s="54" t="inlineStr">
        <is>
          <t>General Liability</t>
        </is>
      </c>
      <c r="C8" s="54" t="inlineStr">
        <is>
          <t>6/12/2025- 6/12/2026</t>
        </is>
      </c>
      <c r="D8" s="176" t="n">
        <v>10456.67</v>
      </c>
      <c r="E8" s="179" t="n">
        <v>45820</v>
      </c>
      <c r="F8" s="179" t="n">
        <v>46185</v>
      </c>
      <c r="G8" s="176">
        <f>D8/DATEDIF(E8,F8,"M")</f>
        <v/>
      </c>
      <c r="H8" s="176">
        <f>IF(OR(E8="",F8=""),0,IF('Summary Page'!$C$4&lt;E8,0,IF('Summary Page'!$C$4&gt;=F8,D8,MIN(DATEDIF(DATE(YEAR(E8),MONTH(E8),1),'Summary Page'!$C$4,"M")+1,DATEDIF(E8,F8+1,"M"))*G8-IF(DAY(E8)&gt;1,G8*(DAY(E8)-1)/DAY(EOMONTH(E8,0)),0)-IF('Summary Page'!$C$4&gt;=DATE(YEAR(F8),MONTH(F8),1),IF(DAY(F8)&lt;DAY(EOMONTH(F8,0)),G8*(DAY(EOMONTH(F8,0))-DAY(F8))/DAY(EOMONTH(F8,0)),0),0))))</f>
        <v/>
      </c>
      <c r="I8" s="176" t="n"/>
      <c r="J8" s="176">
        <f>G8</f>
        <v/>
      </c>
      <c r="K8" s="176">
        <f>D8-H8</f>
        <v/>
      </c>
    </row>
    <row r="9">
      <c r="B9" s="51" t="inlineStr">
        <is>
          <t>Umbrella Premium (CAN)</t>
        </is>
      </c>
      <c r="C9" s="51" t="inlineStr">
        <is>
          <t>6/12/2025- 6/12/2026</t>
        </is>
      </c>
      <c r="D9" s="173" t="n">
        <v>4282.12</v>
      </c>
      <c r="E9" s="178" t="n">
        <v>45820</v>
      </c>
      <c r="F9" s="178" t="n">
        <v>46185</v>
      </c>
      <c r="G9" s="173">
        <f>D9/DATEDIF(E9,F9,"M")</f>
        <v/>
      </c>
      <c r="H9" s="173">
        <f>IF(OR(E9="",F9=""),0,IF('Summary Page'!$C$4&lt;E9,0,IF('Summary Page'!$C$4&gt;=F9,D9,MIN(DATEDIF(DATE(YEAR(E9),MONTH(E9),1),'Summary Page'!$C$4,"M")+1,DATEDIF(E9,F9+1,"M"))*G9-IF(DAY(E9)&gt;1,G9*(DAY(E9)-1)/DAY(EOMONTH(E9,0)),0)-IF('Summary Page'!$C$4&gt;=DATE(YEAR(F9),MONTH(F9),1),IF(DAY(F9)&lt;DAY(EOMONTH(F9,0)),G9*(DAY(EOMONTH(F9,0))-DAY(F9))/DAY(EOMONTH(F9,0)),0),0))))</f>
        <v/>
      </c>
      <c r="I9" s="173">
        <f>G9</f>
        <v/>
      </c>
      <c r="J9" s="173" t="n"/>
      <c r="K9" s="173">
        <f>D9-H9</f>
        <v/>
      </c>
    </row>
    <row r="10">
      <c r="B10" s="54" t="inlineStr">
        <is>
          <t>Umbrella Premium (Navigator)</t>
        </is>
      </c>
      <c r="C10" s="54" t="inlineStr">
        <is>
          <t>6/12/2025- 6/12/2026</t>
        </is>
      </c>
      <c r="D10" s="176" t="n">
        <v>3720.72</v>
      </c>
      <c r="E10" s="179" t="n">
        <v>45820</v>
      </c>
      <c r="F10" s="179" t="n">
        <v>46185</v>
      </c>
      <c r="G10" s="176">
        <f>D10/DATEDIF(E10,F10,"M")</f>
        <v/>
      </c>
      <c r="H10" s="176">
        <f>IF(OR(E10="",F10=""),0,IF('Summary Page'!$C$4&lt;E10,0,IF('Summary Page'!$C$4&gt;=F10,D10,MIN(DATEDIF(DATE(YEAR(E10),MONTH(E10),1),'Summary Page'!$C$4,"M")+1,DATEDIF(E10,F10+1,"M"))*G10-IF(DAY(E10)&gt;1,G10*(DAY(E10)-1)/DAY(EOMONTH(E10,0)),0)-IF('Summary Page'!$C$4&gt;=DATE(YEAR(F10),MONTH(F10),1),IF(DAY(F10)&lt;DAY(EOMONTH(F10,0)),G10*(DAY(EOMONTH(F10,0))-DAY(F10))/DAY(EOMONTH(F10,0)),0),0))))</f>
        <v/>
      </c>
      <c r="I10" s="176">
        <f>G10</f>
        <v/>
      </c>
      <c r="J10" s="176" t="n"/>
      <c r="K10" s="176">
        <f>D10-H10</f>
        <v/>
      </c>
    </row>
    <row r="11" ht="15" customHeight="1" s="192" thickBot="1">
      <c r="B11" s="183" t="n"/>
      <c r="C11" s="184" t="n"/>
      <c r="D11" s="185" t="n"/>
      <c r="E11" s="186" t="n"/>
      <c r="F11" s="186" t="n"/>
      <c r="G11" s="185" t="n"/>
      <c r="H11" s="187" t="n"/>
      <c r="I11" s="188" t="n"/>
      <c r="J11" s="188" t="n"/>
      <c r="K11" s="188" t="n"/>
    </row>
    <row r="12">
      <c r="B12" s="168" t="inlineStr">
        <is>
          <t>Ending Balance per GL</t>
        </is>
      </c>
      <c r="C12" s="169" t="n"/>
      <c r="D12" s="160" t="n"/>
      <c r="E12" s="160" t="n"/>
      <c r="F12" s="160" t="n"/>
      <c r="G12" s="160" t="n"/>
      <c r="H12" s="181" t="n"/>
      <c r="I12" s="189">
        <f>SUM(I7:I11)</f>
        <v/>
      </c>
      <c r="J12" s="189">
        <f>SUM(J7:J11)</f>
        <v/>
      </c>
      <c r="K12" s="189">
        <f>SUM(K7:K11)</f>
        <v/>
      </c>
    </row>
    <row r="13">
      <c r="B13" s="111" t="inlineStr">
        <is>
          <t>Ending Balance per TB</t>
        </is>
      </c>
      <c r="C13" s="180" t="n"/>
      <c r="D13" s="180" t="n"/>
      <c r="E13" s="180" t="n"/>
      <c r="F13" s="180" t="n"/>
      <c r="G13" s="180" t="n"/>
      <c r="H13" s="112" t="n"/>
      <c r="I13" s="88">
        <f>VLOOKUP(I5,'Trial Balance'!$A:$F,6,0)</f>
        <v/>
      </c>
      <c r="J13" s="88">
        <f>VLOOKUP(J5,'Trial Balance'!$A:$F,6,0)</f>
        <v/>
      </c>
      <c r="K13" s="88">
        <f>VLOOKUP(K5,'Trial Balance'!$A:$F,6,0)</f>
        <v/>
      </c>
    </row>
    <row r="14">
      <c r="B14" s="86" t="inlineStr">
        <is>
          <t>Variance</t>
        </is>
      </c>
      <c r="C14" s="256" t="n"/>
      <c r="D14" s="159" t="n"/>
      <c r="E14" s="159" t="n"/>
      <c r="F14" s="159" t="n"/>
      <c r="G14" s="159" t="n"/>
      <c r="H14" s="182" t="n"/>
      <c r="I14" s="97">
        <f>I12-I13</f>
        <v/>
      </c>
      <c r="J14" s="97">
        <f>J12-J13</f>
        <v/>
      </c>
      <c r="K14" s="97">
        <f>K12-K13</f>
        <v/>
      </c>
    </row>
  </sheetData>
  <mergeCells count="2">
    <mergeCell ref="B14:C14"/>
    <mergeCell ref="B3:D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0070C0"/>
    <outlinePr summaryBelow="1" summaryRight="1"/>
    <pageSetUpPr/>
  </sheetPr>
  <dimension ref="B1:G107"/>
  <sheetViews>
    <sheetView workbookViewId="0">
      <pane xSplit="3" ySplit="6" topLeftCell="D7" activePane="bottomRight" state="frozen"/>
      <selection activeCell="B71" sqref="B71:E71"/>
      <selection pane="topRight" activeCell="B71" sqref="B71:E71"/>
      <selection pane="bottomLeft" activeCell="B71" sqref="B71:E71"/>
      <selection pane="bottomRight" activeCell="G103" sqref="G103"/>
    </sheetView>
  </sheetViews>
  <sheetFormatPr baseColWidth="8" defaultRowHeight="14.4" outlineLevelRow="1"/>
  <cols>
    <col width="4.109375" customWidth="1" style="192" min="1" max="1"/>
    <col width="8" customWidth="1" style="192" min="2" max="2"/>
    <col width="10" customWidth="1" style="192" min="3" max="3"/>
    <col width="46" customWidth="1" style="192" min="4" max="4"/>
    <col width="18" customWidth="1" style="192" min="5" max="7"/>
  </cols>
  <sheetData>
    <row r="1" ht="18" customHeight="1" s="192">
      <c r="B1" s="98" t="inlineStr">
        <is>
          <t>Revolution Labs</t>
        </is>
      </c>
      <c r="D1" s="98" t="n"/>
      <c r="E1" s="98" t="n"/>
      <c r="G1" s="98" t="n"/>
    </row>
    <row r="2" ht="18" customHeight="1" s="192">
      <c r="B2" s="98" t="inlineStr">
        <is>
          <t>Loan Analysis</t>
        </is>
      </c>
      <c r="D2" s="98" t="n"/>
      <c r="E2" s="98" t="n"/>
      <c r="G2" s="98" t="n"/>
    </row>
    <row r="3">
      <c r="B3" s="138" t="inlineStr">
        <is>
          <t>revlabs  |  Period: Jan-2026  |  Prepared: 05/12/2026</t>
        </is>
      </c>
      <c r="E3" s="138" t="n"/>
    </row>
    <row r="6" ht="20.4" customHeight="1" s="192">
      <c r="B6" s="170" t="inlineStr">
        <is>
          <t>Date</t>
        </is>
      </c>
      <c r="C6" s="170" t="inlineStr">
        <is>
          <t>Loan #</t>
        </is>
      </c>
      <c r="D6" s="170" t="inlineStr">
        <is>
          <t>Description</t>
        </is>
      </c>
      <c r="E6" s="171" t="inlineStr">
        <is>
          <t>231100</t>
        </is>
      </c>
      <c r="F6" s="171" t="inlineStr">
        <is>
          <t>213200</t>
        </is>
      </c>
      <c r="G6" s="171" t="inlineStr">
        <is>
          <t>801110</t>
        </is>
      </c>
    </row>
    <row r="7" ht="16.8" customHeight="1" s="192">
      <c r="B7" s="170" t="n"/>
      <c r="C7" s="170" t="n"/>
      <c r="D7" s="170" t="n"/>
      <c r="E7" s="172" t="inlineStr">
        <is>
          <t>Mortgage Payable</t>
        </is>
      </c>
      <c r="F7" s="171" t="inlineStr">
        <is>
          <t>Accrued Interest</t>
        </is>
      </c>
      <c r="G7" s="171" t="inlineStr">
        <is>
          <t>Interest Expense</t>
        </is>
      </c>
    </row>
    <row r="8">
      <c r="B8" s="51" t="n"/>
      <c r="C8" s="51" t="n"/>
      <c r="D8" s="51" t="inlineStr">
        <is>
          <t>Balance at 12/31/24-Dec interest accrual</t>
        </is>
      </c>
      <c r="E8" s="173" t="n">
        <v>-92104195.17</v>
      </c>
      <c r="F8" s="173" t="n">
        <v>-701314.29</v>
      </c>
      <c r="G8" s="174" t="n"/>
    </row>
    <row r="9" hidden="1" outlineLevel="1" s="192">
      <c r="B9" s="54" t="inlineStr">
        <is>
          <t>01/25</t>
        </is>
      </c>
      <c r="C9" s="54" t="n"/>
      <c r="D9" s="54" t="inlineStr">
        <is>
          <t>Dec 2024 Accrual Reversal</t>
        </is>
      </c>
      <c r="E9" s="175" t="n"/>
      <c r="F9" s="176" t="n">
        <v>701314.29</v>
      </c>
      <c r="G9" s="176" t="n">
        <v>-701314.29</v>
      </c>
    </row>
    <row r="10" hidden="1" outlineLevel="1" s="192">
      <c r="B10" s="51" t="inlineStr">
        <is>
          <t>01/25</t>
        </is>
      </c>
      <c r="C10" s="51" t="inlineStr">
        <is>
          <t>1159010</t>
        </is>
      </c>
      <c r="D10" s="51" t="inlineStr">
        <is>
          <t>Dec Interest Payment</t>
        </is>
      </c>
      <c r="E10" s="174" t="n"/>
      <c r="F10" s="174" t="n"/>
      <c r="G10" s="173" t="n">
        <v>451630.77</v>
      </c>
    </row>
    <row r="11" hidden="1" outlineLevel="1" s="192">
      <c r="B11" s="54" t="inlineStr">
        <is>
          <t>01/25</t>
        </is>
      </c>
      <c r="C11" s="54" t="inlineStr">
        <is>
          <t>1159011</t>
        </is>
      </c>
      <c r="D11" s="54" t="inlineStr">
        <is>
          <t>Dec Interest Payment</t>
        </is>
      </c>
      <c r="E11" s="175" t="n"/>
      <c r="F11" s="175" t="n"/>
      <c r="G11" s="176" t="n">
        <v>224715.17</v>
      </c>
    </row>
    <row r="12" hidden="1" outlineLevel="1" s="192">
      <c r="B12" s="51" t="inlineStr">
        <is>
          <t>01/25</t>
        </is>
      </c>
      <c r="C12" s="51" t="inlineStr">
        <is>
          <t>1159012</t>
        </is>
      </c>
      <c r="D12" s="51" t="inlineStr">
        <is>
          <t>Dec Interest Payment</t>
        </is>
      </c>
      <c r="E12" s="174" t="n"/>
      <c r="F12" s="174" t="n"/>
      <c r="G12" s="173" t="n">
        <v>24968.35</v>
      </c>
    </row>
    <row r="13" hidden="1" outlineLevel="1" s="192">
      <c r="B13" s="54" t="inlineStr">
        <is>
          <t>01/25</t>
        </is>
      </c>
      <c r="C13" s="54" t="inlineStr">
        <is>
          <t>1159010</t>
        </is>
      </c>
      <c r="D13" s="54" t="inlineStr">
        <is>
          <t>Accr Jan Interest Due -11159010</t>
        </is>
      </c>
      <c r="E13" s="175" t="n"/>
      <c r="F13" s="176" t="n">
        <v>-440923.66</v>
      </c>
      <c r="G13" s="176" t="n">
        <v>440923.66</v>
      </c>
    </row>
    <row r="14" hidden="1" outlineLevel="1" s="192">
      <c r="B14" s="51" t="inlineStr">
        <is>
          <t>01/25</t>
        </is>
      </c>
      <c r="C14" s="51" t="inlineStr">
        <is>
          <t>1159011</t>
        </is>
      </c>
      <c r="D14" s="51" t="inlineStr">
        <is>
          <t>Accr Jan Interest Due -11159011</t>
        </is>
      </c>
      <c r="E14" s="174" t="n"/>
      <c r="F14" s="173" t="n">
        <v>-221503.04</v>
      </c>
      <c r="G14" s="173" t="n">
        <v>221503.04</v>
      </c>
    </row>
    <row r="15" hidden="1" outlineLevel="1" s="192">
      <c r="B15" s="54" t="inlineStr">
        <is>
          <t>01/25</t>
        </is>
      </c>
      <c r="C15" s="54" t="inlineStr">
        <is>
          <t>1159012</t>
        </is>
      </c>
      <c r="D15" s="54" t="inlineStr">
        <is>
          <t>Accr Jan Interest Due -11159012</t>
        </is>
      </c>
      <c r="E15" s="175" t="n"/>
      <c r="F15" s="176" t="n">
        <v>-24611.45</v>
      </c>
      <c r="G15" s="176" t="n">
        <v>24611.45</v>
      </c>
    </row>
    <row r="16" hidden="1" outlineLevel="1" s="192">
      <c r="B16" s="51" t="inlineStr">
        <is>
          <t>02/25</t>
        </is>
      </c>
      <c r="C16" s="51" t="n"/>
      <c r="D16" s="51" t="inlineStr">
        <is>
          <t>Jan 2025 Accrual Reversal</t>
        </is>
      </c>
      <c r="E16" s="174" t="n"/>
      <c r="F16" s="173" t="n">
        <v>687038.15</v>
      </c>
      <c r="G16" s="173" t="n">
        <v>-687038.15</v>
      </c>
    </row>
    <row r="17" hidden="1" outlineLevel="1" s="192">
      <c r="B17" s="54" t="inlineStr">
        <is>
          <t>02/25</t>
        </is>
      </c>
      <c r="C17" s="54" t="inlineStr">
        <is>
          <t>1159010</t>
        </is>
      </c>
      <c r="D17" s="54" t="inlineStr">
        <is>
          <t>Jan Interest Payment</t>
        </is>
      </c>
      <c r="E17" s="175" t="n"/>
      <c r="F17" s="175" t="n"/>
      <c r="G17" s="176" t="n">
        <v>440923.66</v>
      </c>
    </row>
    <row r="18" hidden="1" outlineLevel="1" s="192">
      <c r="B18" s="51" t="inlineStr">
        <is>
          <t>02/25</t>
        </is>
      </c>
      <c r="C18" s="51" t="inlineStr">
        <is>
          <t>1159011</t>
        </is>
      </c>
      <c r="D18" s="51" t="inlineStr">
        <is>
          <t>Jan Interest Payment</t>
        </is>
      </c>
      <c r="E18" s="174" t="n"/>
      <c r="F18" s="174" t="n"/>
      <c r="G18" s="173" t="n">
        <v>221503.04</v>
      </c>
    </row>
    <row r="19" hidden="1" outlineLevel="1" s="192">
      <c r="B19" s="54" t="inlineStr">
        <is>
          <t>02/25</t>
        </is>
      </c>
      <c r="C19" s="54" t="inlineStr">
        <is>
          <t>1159012</t>
        </is>
      </c>
      <c r="D19" s="54" t="inlineStr">
        <is>
          <t>Jan Interest Payment</t>
        </is>
      </c>
      <c r="E19" s="175" t="n"/>
      <c r="F19" s="175" t="n"/>
      <c r="G19" s="176" t="n">
        <v>24611.45</v>
      </c>
    </row>
    <row r="20" hidden="1" outlineLevel="1" s="192">
      <c r="B20" s="51" t="inlineStr">
        <is>
          <t>02/25</t>
        </is>
      </c>
      <c r="C20" s="51" t="inlineStr">
        <is>
          <t>1159010</t>
        </is>
      </c>
      <c r="D20" s="51" t="inlineStr">
        <is>
          <t>Accr Feb Interest Due -11159010</t>
        </is>
      </c>
      <c r="E20" s="174" t="n"/>
      <c r="F20" s="173" t="n">
        <v>-398952.08</v>
      </c>
      <c r="G20" s="173" t="n">
        <v>398952.08</v>
      </c>
    </row>
    <row r="21" hidden="1" outlineLevel="1" s="192">
      <c r="B21" s="54" t="inlineStr">
        <is>
          <t>02/25</t>
        </is>
      </c>
      <c r="C21" s="54" t="inlineStr">
        <is>
          <t>1159011</t>
        </is>
      </c>
      <c r="D21" s="54" t="inlineStr">
        <is>
          <t>Accr Feb Interest Due -11159011</t>
        </is>
      </c>
      <c r="E21" s="175" t="n"/>
      <c r="F21" s="176" t="n">
        <v>-200276.8</v>
      </c>
      <c r="G21" s="176" t="n">
        <v>200276.8</v>
      </c>
    </row>
    <row r="22" hidden="1" outlineLevel="1" s="192">
      <c r="B22" s="51" t="inlineStr">
        <is>
          <t>02/25</t>
        </is>
      </c>
      <c r="C22" s="51" t="inlineStr">
        <is>
          <t>1159012</t>
        </is>
      </c>
      <c r="D22" s="51" t="inlineStr">
        <is>
          <t>Accr Feb Interest Due -11159012</t>
        </is>
      </c>
      <c r="E22" s="174" t="n"/>
      <c r="F22" s="173" t="n">
        <v>-22252.98</v>
      </c>
      <c r="G22" s="173" t="n">
        <v>22252.98</v>
      </c>
    </row>
    <row r="23" hidden="1" outlineLevel="1" s="192">
      <c r="B23" s="54" t="inlineStr">
        <is>
          <t>03/25</t>
        </is>
      </c>
      <c r="C23" s="54" t="n"/>
      <c r="D23" s="54" t="inlineStr">
        <is>
          <t>Feb 2025 Accrual Reversal</t>
        </is>
      </c>
      <c r="E23" s="175" t="n"/>
      <c r="F23" s="176" t="n">
        <v>621481.86</v>
      </c>
      <c r="G23" s="176" t="n">
        <v>-621481.86</v>
      </c>
    </row>
    <row r="24" hidden="1" outlineLevel="1" s="192">
      <c r="B24" s="51" t="inlineStr">
        <is>
          <t>03/25</t>
        </is>
      </c>
      <c r="C24" s="51" t="inlineStr">
        <is>
          <t>1159010</t>
        </is>
      </c>
      <c r="D24" s="51" t="inlineStr">
        <is>
          <t>Feb Interest Payment</t>
        </is>
      </c>
      <c r="E24" s="174" t="n"/>
      <c r="F24" s="174" t="n"/>
      <c r="G24" s="173" t="n">
        <v>398952.08</v>
      </c>
    </row>
    <row r="25" hidden="1" outlineLevel="1" s="192">
      <c r="B25" s="54" t="inlineStr">
        <is>
          <t>03/25</t>
        </is>
      </c>
      <c r="C25" s="54" t="inlineStr">
        <is>
          <t>1159011</t>
        </is>
      </c>
      <c r="D25" s="54" t="inlineStr">
        <is>
          <t>Feb Interest Payment</t>
        </is>
      </c>
      <c r="E25" s="175" t="n"/>
      <c r="F25" s="175" t="n"/>
      <c r="G25" s="176" t="n">
        <v>200276.8</v>
      </c>
    </row>
    <row r="26" hidden="1" outlineLevel="1" s="192">
      <c r="B26" s="51" t="inlineStr">
        <is>
          <t>03/25</t>
        </is>
      </c>
      <c r="C26" s="51" t="inlineStr">
        <is>
          <t>1159012</t>
        </is>
      </c>
      <c r="D26" s="51" t="inlineStr">
        <is>
          <t>Feb Interest Payment</t>
        </is>
      </c>
      <c r="E26" s="174" t="n"/>
      <c r="F26" s="174" t="n"/>
      <c r="G26" s="173" t="n">
        <v>22252.98</v>
      </c>
    </row>
    <row r="27" hidden="1" outlineLevel="1" s="192">
      <c r="B27" s="54" t="inlineStr">
        <is>
          <t>03/25</t>
        </is>
      </c>
      <c r="C27" s="54" t="inlineStr">
        <is>
          <t>1159010</t>
        </is>
      </c>
      <c r="D27" s="54" t="inlineStr">
        <is>
          <t>Accr Mar Interest Due -11159010</t>
        </is>
      </c>
      <c r="E27" s="175" t="n"/>
      <c r="F27" s="176" t="n">
        <v>-442351.27</v>
      </c>
      <c r="G27" s="176" t="n">
        <v>442351.27</v>
      </c>
    </row>
    <row r="28" hidden="1" outlineLevel="1" s="192">
      <c r="B28" s="51" t="inlineStr">
        <is>
          <t>03/25</t>
        </is>
      </c>
      <c r="C28" s="51" t="inlineStr">
        <is>
          <t>1159011</t>
        </is>
      </c>
      <c r="D28" s="51" t="inlineStr">
        <is>
          <t>Accr Mar Interest Due -11159011</t>
        </is>
      </c>
      <c r="E28" s="174" t="n"/>
      <c r="F28" s="173" t="n">
        <v>-221931.32</v>
      </c>
      <c r="G28" s="173" t="n">
        <v>221931.32</v>
      </c>
    </row>
    <row r="29" hidden="1" outlineLevel="1" s="192">
      <c r="B29" s="54" t="inlineStr">
        <is>
          <t>03/25</t>
        </is>
      </c>
      <c r="C29" s="54" t="inlineStr">
        <is>
          <t>1159012</t>
        </is>
      </c>
      <c r="D29" s="54" t="inlineStr">
        <is>
          <t>Accr Mar Interest Due -11159012</t>
        </is>
      </c>
      <c r="E29" s="175" t="n"/>
      <c r="F29" s="176" t="n">
        <v>-24659.04</v>
      </c>
      <c r="G29" s="176" t="n">
        <v>24659.04</v>
      </c>
    </row>
    <row r="30" hidden="1" outlineLevel="1" s="192">
      <c r="B30" s="51" t="inlineStr">
        <is>
          <t>04/25</t>
        </is>
      </c>
      <c r="C30" s="51" t="n"/>
      <c r="D30" s="51" t="inlineStr">
        <is>
          <t>Mar 2025 Accrual Reversal</t>
        </is>
      </c>
      <c r="E30" s="174" t="n"/>
      <c r="F30" s="173" t="n">
        <v>688941.63</v>
      </c>
      <c r="G30" s="173" t="n">
        <v>-688941.63</v>
      </c>
    </row>
    <row r="31" hidden="1" outlineLevel="1" s="192">
      <c r="B31" s="54" t="inlineStr">
        <is>
          <t>04/25</t>
        </is>
      </c>
      <c r="C31" s="54" t="inlineStr">
        <is>
          <t>1159010</t>
        </is>
      </c>
      <c r="D31" s="54" t="inlineStr">
        <is>
          <t>Mar Interest Payment</t>
        </is>
      </c>
      <c r="E31" s="175" t="n"/>
      <c r="F31" s="175" t="n"/>
      <c r="G31" s="176" t="n">
        <v>442351.27</v>
      </c>
    </row>
    <row r="32" hidden="1" outlineLevel="1" s="192">
      <c r="B32" s="51" t="inlineStr">
        <is>
          <t>04/25</t>
        </is>
      </c>
      <c r="C32" s="51" t="inlineStr">
        <is>
          <t>1159011</t>
        </is>
      </c>
      <c r="D32" s="51" t="inlineStr">
        <is>
          <t>Mar Interest Payment</t>
        </is>
      </c>
      <c r="E32" s="174" t="n"/>
      <c r="F32" s="174" t="n"/>
      <c r="G32" s="173" t="n">
        <v>221931.32</v>
      </c>
    </row>
    <row r="33" hidden="1" outlineLevel="1" s="192">
      <c r="B33" s="54" t="inlineStr">
        <is>
          <t>04/25</t>
        </is>
      </c>
      <c r="C33" s="54" t="inlineStr">
        <is>
          <t>1159012</t>
        </is>
      </c>
      <c r="D33" s="54" t="inlineStr">
        <is>
          <t>Mar Interest Payment</t>
        </is>
      </c>
      <c r="E33" s="175" t="n"/>
      <c r="F33" s="175" t="n"/>
      <c r="G33" s="176" t="n">
        <v>24659.04</v>
      </c>
    </row>
    <row r="34" hidden="1" outlineLevel="1" s="192">
      <c r="B34" s="51" t="inlineStr">
        <is>
          <t>04/25</t>
        </is>
      </c>
      <c r="C34" s="51" t="inlineStr">
        <is>
          <t>1159010</t>
        </is>
      </c>
      <c r="D34" s="51" t="inlineStr">
        <is>
          <t>Accr April Interest Due -11159010</t>
        </is>
      </c>
      <c r="E34" s="174" t="n"/>
      <c r="F34" s="173" t="n">
        <v>-426354.98</v>
      </c>
      <c r="G34" s="173" t="n">
        <v>426354.98</v>
      </c>
    </row>
    <row r="35" hidden="1" outlineLevel="1" s="192">
      <c r="B35" s="54" t="inlineStr">
        <is>
          <t>04/25</t>
        </is>
      </c>
      <c r="C35" s="54" t="inlineStr">
        <is>
          <t>1159011</t>
        </is>
      </c>
      <c r="D35" s="54" t="inlineStr">
        <is>
          <t>Accr April Interest Due -11159011</t>
        </is>
      </c>
      <c r="E35" s="175" t="n"/>
      <c r="F35" s="176" t="n">
        <v>-214254.16</v>
      </c>
      <c r="G35" s="176" t="n">
        <v>214254.16</v>
      </c>
    </row>
    <row r="36" hidden="1" outlineLevel="1" s="192">
      <c r="B36" s="51" t="inlineStr">
        <is>
          <t>04/25</t>
        </is>
      </c>
      <c r="C36" s="51" t="inlineStr">
        <is>
          <t>1159012</t>
        </is>
      </c>
      <c r="D36" s="51" t="inlineStr">
        <is>
          <t>Accr April Interest Due -11159012</t>
        </is>
      </c>
      <c r="E36" s="174" t="n"/>
      <c r="F36" s="173" t="n">
        <v>-23806.02</v>
      </c>
      <c r="G36" s="173" t="n">
        <v>23806.02</v>
      </c>
    </row>
    <row r="37" hidden="1" outlineLevel="1" s="192">
      <c r="B37" s="54" t="inlineStr">
        <is>
          <t>05/25</t>
        </is>
      </c>
      <c r="C37" s="54" t="n"/>
      <c r="D37" s="54" t="inlineStr">
        <is>
          <t>April 2025 Accrual Reversal</t>
        </is>
      </c>
      <c r="E37" s="175" t="n"/>
      <c r="F37" s="176" t="n">
        <v>664415.16</v>
      </c>
      <c r="G37" s="176" t="n">
        <v>-664415.16</v>
      </c>
    </row>
    <row r="38" hidden="1" outlineLevel="1" s="192">
      <c r="B38" s="51" t="inlineStr">
        <is>
          <t>05/25</t>
        </is>
      </c>
      <c r="C38" s="51" t="inlineStr">
        <is>
          <t>1159010</t>
        </is>
      </c>
      <c r="D38" s="51" t="inlineStr">
        <is>
          <t>April Interest Payment</t>
        </is>
      </c>
      <c r="E38" s="174" t="n"/>
      <c r="F38" s="174" t="n"/>
      <c r="G38" s="173" t="n">
        <v>426354.92</v>
      </c>
    </row>
    <row r="39" hidden="1" outlineLevel="1" s="192">
      <c r="B39" s="54" t="inlineStr">
        <is>
          <t>05/25</t>
        </is>
      </c>
      <c r="C39" s="54" t="inlineStr">
        <is>
          <t>1159011</t>
        </is>
      </c>
      <c r="D39" s="54" t="inlineStr">
        <is>
          <t>April Interest Payment</t>
        </is>
      </c>
      <c r="E39" s="175" t="n"/>
      <c r="F39" s="175" t="n"/>
      <c r="G39" s="176" t="n">
        <v>214254.16</v>
      </c>
    </row>
    <row r="40" hidden="1" outlineLevel="1" s="192">
      <c r="B40" s="51" t="inlineStr">
        <is>
          <t>05/25</t>
        </is>
      </c>
      <c r="C40" s="51" t="inlineStr">
        <is>
          <t>1159012</t>
        </is>
      </c>
      <c r="D40" s="51" t="inlineStr">
        <is>
          <t>April Interest Payment</t>
        </is>
      </c>
      <c r="E40" s="174" t="n"/>
      <c r="F40" s="174" t="n"/>
      <c r="G40" s="173" t="n">
        <v>23806.02</v>
      </c>
    </row>
    <row r="41" hidden="1" outlineLevel="1" s="192">
      <c r="B41" s="54" t="inlineStr">
        <is>
          <t>05/25</t>
        </is>
      </c>
      <c r="C41" s="54" t="inlineStr">
        <is>
          <t>1159010</t>
        </is>
      </c>
      <c r="D41" s="54" t="inlineStr">
        <is>
          <t>Accr May Interest Due -11159010</t>
        </is>
      </c>
      <c r="E41" s="175" t="n"/>
      <c r="F41" s="176" t="n">
        <v>-443005.6</v>
      </c>
      <c r="G41" s="176" t="n">
        <v>443005.6</v>
      </c>
    </row>
    <row r="42" hidden="1" outlineLevel="1" s="192">
      <c r="B42" s="51" t="inlineStr">
        <is>
          <t>05/25</t>
        </is>
      </c>
      <c r="C42" s="51" t="inlineStr">
        <is>
          <t>1159011</t>
        </is>
      </c>
      <c r="D42" s="51" t="inlineStr">
        <is>
          <t>Accr May Interest Due -11159011</t>
        </is>
      </c>
      <c r="E42" s="174" t="n"/>
      <c r="F42" s="173" t="n">
        <v>-222127.62</v>
      </c>
      <c r="G42" s="173" t="n">
        <v>222127.62</v>
      </c>
    </row>
    <row r="43" hidden="1" outlineLevel="1" s="192">
      <c r="B43" s="54" t="inlineStr">
        <is>
          <t>05/25</t>
        </is>
      </c>
      <c r="C43" s="54" t="inlineStr">
        <is>
          <t>1159012</t>
        </is>
      </c>
      <c r="D43" s="54" t="inlineStr">
        <is>
          <t>Accr May Interest Due -11159012</t>
        </is>
      </c>
      <c r="E43" s="175" t="n"/>
      <c r="F43" s="176" t="n">
        <v>-24680.85</v>
      </c>
      <c r="G43" s="176" t="n">
        <v>24680.85</v>
      </c>
    </row>
    <row r="44" hidden="1" outlineLevel="1" s="192">
      <c r="B44" s="51" t="inlineStr">
        <is>
          <t>06/25</t>
        </is>
      </c>
      <c r="C44" s="51" t="n"/>
      <c r="D44" s="51" t="inlineStr">
        <is>
          <t>May 2025 Accrual Reversal</t>
        </is>
      </c>
      <c r="E44" s="174" t="n"/>
      <c r="F44" s="173" t="n">
        <v>689814.0699999999</v>
      </c>
      <c r="G44" s="173" t="n">
        <v>-689814.0699999999</v>
      </c>
    </row>
    <row r="45" hidden="1" outlineLevel="1" s="192">
      <c r="B45" s="54" t="inlineStr">
        <is>
          <t>06/25</t>
        </is>
      </c>
      <c r="C45" s="54" t="inlineStr">
        <is>
          <t>1159010</t>
        </is>
      </c>
      <c r="D45" s="54" t="inlineStr">
        <is>
          <t>May Interest Payment</t>
        </is>
      </c>
      <c r="E45" s="175" t="n"/>
      <c r="F45" s="175" t="n"/>
      <c r="G45" s="176" t="n">
        <v>443005.6</v>
      </c>
    </row>
    <row r="46" hidden="1" outlineLevel="1" s="192">
      <c r="B46" s="51" t="inlineStr">
        <is>
          <t>06/25</t>
        </is>
      </c>
      <c r="C46" s="51" t="inlineStr">
        <is>
          <t>1159011</t>
        </is>
      </c>
      <c r="D46" s="51" t="inlineStr">
        <is>
          <t>May Interest Payment</t>
        </is>
      </c>
      <c r="E46" s="174" t="n"/>
      <c r="F46" s="174" t="n"/>
      <c r="G46" s="173" t="n">
        <v>222127.62</v>
      </c>
    </row>
    <row r="47" hidden="1" outlineLevel="1" s="192">
      <c r="B47" s="54" t="inlineStr">
        <is>
          <t>06/25</t>
        </is>
      </c>
      <c r="C47" s="54" t="inlineStr">
        <is>
          <t>1159012</t>
        </is>
      </c>
      <c r="D47" s="54" t="inlineStr">
        <is>
          <t>May Interest Payment</t>
        </is>
      </c>
      <c r="E47" s="175" t="n"/>
      <c r="F47" s="175" t="n"/>
      <c r="G47" s="176" t="n">
        <v>24680.85</v>
      </c>
    </row>
    <row r="48" hidden="1" outlineLevel="1" s="192">
      <c r="B48" s="51" t="inlineStr">
        <is>
          <t>06/25</t>
        </is>
      </c>
      <c r="C48" s="51" t="n"/>
      <c r="D48" s="51" t="inlineStr">
        <is>
          <t>June 2025 Accrual Reversal</t>
        </is>
      </c>
      <c r="E48" s="174" t="n"/>
      <c r="F48" s="173" t="n">
        <v>665950.17</v>
      </c>
      <c r="G48" s="173" t="n">
        <v>-665950.17</v>
      </c>
    </row>
    <row r="49" hidden="1" outlineLevel="1" s="192">
      <c r="B49" s="54" t="inlineStr">
        <is>
          <t>06/25</t>
        </is>
      </c>
      <c r="C49" s="54" t="inlineStr">
        <is>
          <t>1159010</t>
        </is>
      </c>
      <c r="D49" s="54" t="inlineStr">
        <is>
          <t>Accr June Interest Due -11159010</t>
        </is>
      </c>
      <c r="E49" s="175" t="n"/>
      <c r="F49" s="176" t="n">
        <v>-427506.22</v>
      </c>
      <c r="G49" s="176" t="n">
        <v>427506.22</v>
      </c>
    </row>
    <row r="50" hidden="1" outlineLevel="1" s="192">
      <c r="B50" s="51" t="inlineStr">
        <is>
          <t>06/25</t>
        </is>
      </c>
      <c r="C50" s="51" t="inlineStr">
        <is>
          <t>1159011</t>
        </is>
      </c>
      <c r="D50" s="51" t="inlineStr">
        <is>
          <t>Accr June Interest Due -11159011</t>
        </is>
      </c>
      <c r="E50" s="174" t="n"/>
      <c r="F50" s="173" t="n">
        <v>-214599.55</v>
      </c>
      <c r="G50" s="173" t="n">
        <v>214599.55</v>
      </c>
    </row>
    <row r="51" hidden="1" outlineLevel="1" s="192">
      <c r="B51" s="54" t="inlineStr">
        <is>
          <t>06/25</t>
        </is>
      </c>
      <c r="C51" s="54" t="inlineStr">
        <is>
          <t>1159012</t>
        </is>
      </c>
      <c r="D51" s="54" t="inlineStr">
        <is>
          <t>Accr June Interest Due -11159012</t>
        </is>
      </c>
      <c r="E51" s="175" t="n"/>
      <c r="F51" s="176" t="n">
        <v>-23844.4</v>
      </c>
      <c r="G51" s="176" t="n">
        <v>23844.4</v>
      </c>
    </row>
    <row r="52" hidden="1" outlineLevel="1" s="192">
      <c r="B52" s="51" t="inlineStr">
        <is>
          <t>07/25</t>
        </is>
      </c>
      <c r="C52" s="51" t="inlineStr">
        <is>
          <t>1159010</t>
        </is>
      </c>
      <c r="D52" s="51" t="inlineStr">
        <is>
          <t>June Interest Payment</t>
        </is>
      </c>
      <c r="E52" s="174" t="n"/>
      <c r="F52" s="174" t="n"/>
      <c r="G52" s="173" t="n">
        <v>427506.22</v>
      </c>
    </row>
    <row r="53" hidden="1" outlineLevel="1" s="192">
      <c r="B53" s="54" t="inlineStr">
        <is>
          <t>07/25</t>
        </is>
      </c>
      <c r="C53" s="54" t="inlineStr">
        <is>
          <t>1159011</t>
        </is>
      </c>
      <c r="D53" s="54" t="inlineStr">
        <is>
          <t>June Interest Payment</t>
        </is>
      </c>
      <c r="E53" s="175" t="n"/>
      <c r="F53" s="175" t="n"/>
      <c r="G53" s="176" t="n">
        <v>214599.55</v>
      </c>
    </row>
    <row r="54" hidden="1" outlineLevel="1" s="192">
      <c r="B54" s="51" t="inlineStr">
        <is>
          <t>07/25</t>
        </is>
      </c>
      <c r="C54" s="51" t="inlineStr">
        <is>
          <t>1159012</t>
        </is>
      </c>
      <c r="D54" s="51" t="inlineStr">
        <is>
          <t>June Interest Payment</t>
        </is>
      </c>
      <c r="E54" s="174" t="n"/>
      <c r="F54" s="174" t="n"/>
      <c r="G54" s="173" t="n">
        <v>23844.4</v>
      </c>
    </row>
    <row r="55" hidden="1" outlineLevel="1" s="192">
      <c r="B55" s="54" t="inlineStr">
        <is>
          <t>07/25</t>
        </is>
      </c>
      <c r="C55" s="54" t="inlineStr">
        <is>
          <t>1159010</t>
        </is>
      </c>
      <c r="D55" s="54" t="inlineStr">
        <is>
          <t>Accr July Interest Due -11159010</t>
        </is>
      </c>
      <c r="E55" s="175" t="n"/>
      <c r="F55" s="176" t="n">
        <v>-443362.5</v>
      </c>
      <c r="G55" s="176" t="n">
        <v>443362.5</v>
      </c>
    </row>
    <row r="56" hidden="1" outlineLevel="1" s="192">
      <c r="B56" s="51" t="inlineStr">
        <is>
          <t>07/25</t>
        </is>
      </c>
      <c r="C56" s="51" t="inlineStr">
        <is>
          <t>1159011</t>
        </is>
      </c>
      <c r="D56" s="51" t="inlineStr">
        <is>
          <t>Accr July Interest Due -11159011</t>
        </is>
      </c>
      <c r="E56" s="174" t="n"/>
      <c r="F56" s="173" t="n">
        <v>-222234.69</v>
      </c>
      <c r="G56" s="173" t="n">
        <v>222234.69</v>
      </c>
    </row>
    <row r="57" hidden="1" outlineLevel="1" s="192">
      <c r="B57" s="54" t="inlineStr">
        <is>
          <t>07/25</t>
        </is>
      </c>
      <c r="C57" s="54" t="inlineStr">
        <is>
          <t>1159012</t>
        </is>
      </c>
      <c r="D57" s="54" t="inlineStr">
        <is>
          <t>Accr July Interest Due -11159012</t>
        </is>
      </c>
      <c r="E57" s="175" t="n"/>
      <c r="F57" s="176" t="n">
        <v>-24692.74</v>
      </c>
      <c r="G57" s="176" t="n">
        <v>24692.74</v>
      </c>
    </row>
    <row r="58" hidden="1" outlineLevel="1" s="192">
      <c r="B58" s="51" t="inlineStr">
        <is>
          <t>08/25</t>
        </is>
      </c>
      <c r="C58" s="51" t="n"/>
      <c r="D58" s="51" t="inlineStr">
        <is>
          <t>July 2025 Accrual Reversal</t>
        </is>
      </c>
      <c r="E58" s="174" t="n"/>
      <c r="F58" s="173" t="n">
        <v>690289.9300000001</v>
      </c>
      <c r="G58" s="173" t="n">
        <v>-690289.9300000001</v>
      </c>
    </row>
    <row r="59" hidden="1" outlineLevel="1" s="192">
      <c r="B59" s="54" t="inlineStr">
        <is>
          <t>08/25</t>
        </is>
      </c>
      <c r="C59" s="54" t="inlineStr">
        <is>
          <t>1159010</t>
        </is>
      </c>
      <c r="D59" s="54" t="inlineStr">
        <is>
          <t>july Interest Payment</t>
        </is>
      </c>
      <c r="E59" s="175" t="n"/>
      <c r="F59" s="175" t="n"/>
      <c r="G59" s="176" t="n">
        <v>443362.5</v>
      </c>
    </row>
    <row r="60" hidden="1" outlineLevel="1" s="192">
      <c r="B60" s="51" t="inlineStr">
        <is>
          <t>08/25</t>
        </is>
      </c>
      <c r="C60" s="51" t="inlineStr">
        <is>
          <t>1159011</t>
        </is>
      </c>
      <c r="D60" s="51" t="inlineStr">
        <is>
          <t>july Interest Payment</t>
        </is>
      </c>
      <c r="E60" s="174" t="n"/>
      <c r="F60" s="174" t="n"/>
      <c r="G60" s="173" t="n">
        <v>222234.69</v>
      </c>
    </row>
    <row r="61" hidden="1" outlineLevel="1" s="192">
      <c r="B61" s="54" t="inlineStr">
        <is>
          <t>08/25</t>
        </is>
      </c>
      <c r="C61" s="54" t="inlineStr">
        <is>
          <t>1159012</t>
        </is>
      </c>
      <c r="D61" s="54" t="inlineStr">
        <is>
          <t>july Interest Payment</t>
        </is>
      </c>
      <c r="E61" s="175" t="n"/>
      <c r="F61" s="175" t="n"/>
      <c r="G61" s="176" t="n">
        <v>24692.74</v>
      </c>
    </row>
    <row r="62" hidden="1" outlineLevel="1" s="192">
      <c r="B62" s="51" t="inlineStr">
        <is>
          <t>08/25</t>
        </is>
      </c>
      <c r="C62" s="51" t="n"/>
      <c r="D62" s="51" t="inlineStr">
        <is>
          <t>August 2025 Accrual Reversal</t>
        </is>
      </c>
      <c r="E62" s="174" t="n"/>
      <c r="F62" s="173" t="n">
        <v>691796.86</v>
      </c>
      <c r="G62" s="173" t="n">
        <v>-691796.86</v>
      </c>
    </row>
    <row r="63" hidden="1" outlineLevel="1" s="192">
      <c r="B63" s="54" t="inlineStr">
        <is>
          <t>08/25</t>
        </is>
      </c>
      <c r="C63" s="54" t="inlineStr">
        <is>
          <t>1159010</t>
        </is>
      </c>
      <c r="D63" s="54" t="inlineStr">
        <is>
          <t>Accr Aug Interest Due -11159010</t>
        </is>
      </c>
      <c r="E63" s="175" t="n"/>
      <c r="F63" s="176" t="n">
        <v>-444492.69</v>
      </c>
      <c r="G63" s="176" t="n">
        <v>444492.69</v>
      </c>
    </row>
    <row r="64" hidden="1" outlineLevel="1" s="192">
      <c r="B64" s="51" t="inlineStr">
        <is>
          <t>08/25</t>
        </is>
      </c>
      <c r="C64" s="51" t="inlineStr">
        <is>
          <t>1159011</t>
        </is>
      </c>
      <c r="D64" s="51" t="inlineStr">
        <is>
          <t>Accr Aug Interest Due -11159011</t>
        </is>
      </c>
      <c r="E64" s="174" t="n"/>
      <c r="F64" s="173" t="n">
        <v>-222573.75</v>
      </c>
      <c r="G64" s="173" t="n">
        <v>222573.75</v>
      </c>
    </row>
    <row r="65" hidden="1" outlineLevel="1" s="192">
      <c r="B65" s="54" t="inlineStr">
        <is>
          <t>08/25</t>
        </is>
      </c>
      <c r="C65" s="54" t="inlineStr">
        <is>
          <t>1159012</t>
        </is>
      </c>
      <c r="D65" s="54" t="inlineStr">
        <is>
          <t>Accr Aug Interest Due -11159012</t>
        </is>
      </c>
      <c r="E65" s="175" t="n"/>
      <c r="F65" s="176" t="n">
        <v>-24730.42</v>
      </c>
      <c r="G65" s="176" t="n">
        <v>24730.42</v>
      </c>
    </row>
    <row r="66" hidden="1" outlineLevel="1" s="192">
      <c r="B66" s="51" t="inlineStr">
        <is>
          <t>09/25</t>
        </is>
      </c>
      <c r="C66" s="51" t="inlineStr">
        <is>
          <t>1159010</t>
        </is>
      </c>
      <c r="D66" s="51" t="inlineStr">
        <is>
          <t>Aug Interest Payment</t>
        </is>
      </c>
      <c r="E66" s="174" t="n"/>
      <c r="F66" s="174" t="n"/>
      <c r="G66" s="173" t="n">
        <v>444492.69</v>
      </c>
    </row>
    <row r="67" hidden="1" outlineLevel="1" s="192">
      <c r="B67" s="54" t="inlineStr">
        <is>
          <t>09/25</t>
        </is>
      </c>
      <c r="C67" s="54" t="inlineStr">
        <is>
          <t>1159011</t>
        </is>
      </c>
      <c r="D67" s="54" t="inlineStr">
        <is>
          <t>Aug Interest Payment</t>
        </is>
      </c>
      <c r="E67" s="175" t="n"/>
      <c r="F67" s="175" t="n"/>
      <c r="G67" s="176" t="n">
        <v>222573.75</v>
      </c>
    </row>
    <row r="68" hidden="1" outlineLevel="1" s="192">
      <c r="B68" s="51" t="inlineStr">
        <is>
          <t>09/25</t>
        </is>
      </c>
      <c r="C68" s="51" t="inlineStr">
        <is>
          <t>1159012</t>
        </is>
      </c>
      <c r="D68" s="51" t="inlineStr">
        <is>
          <t>Aug Interest Payment</t>
        </is>
      </c>
      <c r="E68" s="174" t="n"/>
      <c r="F68" s="174" t="n"/>
      <c r="G68" s="173" t="n">
        <v>24730.42</v>
      </c>
    </row>
    <row r="69" hidden="1" outlineLevel="1" s="192">
      <c r="B69" s="54" t="inlineStr">
        <is>
          <t>09/25</t>
        </is>
      </c>
      <c r="C69" s="54" t="inlineStr">
        <is>
          <t>1159010</t>
        </is>
      </c>
      <c r="D69" s="54" t="inlineStr">
        <is>
          <t>Accr Sep Interest Due -11159010</t>
        </is>
      </c>
      <c r="E69" s="175" t="n"/>
      <c r="F69" s="176" t="n">
        <v>-420655.98</v>
      </c>
      <c r="G69" s="176" t="n">
        <v>420655.98</v>
      </c>
    </row>
    <row r="70" hidden="1" outlineLevel="1" s="192">
      <c r="B70" s="51" t="inlineStr">
        <is>
          <t>09/25</t>
        </is>
      </c>
      <c r="C70" s="51" t="inlineStr">
        <is>
          <t>1159011</t>
        </is>
      </c>
      <c r="D70" s="51" t="inlineStr">
        <is>
          <t>Accr Sep Interest Due -11159011</t>
        </is>
      </c>
      <c r="E70" s="174" t="n"/>
      <c r="F70" s="173" t="n">
        <v>-212544.48</v>
      </c>
      <c r="G70" s="173" t="n">
        <v>212544.48</v>
      </c>
    </row>
    <row r="71" hidden="1" outlineLevel="1" s="192">
      <c r="B71" s="54" t="inlineStr">
        <is>
          <t>09/25</t>
        </is>
      </c>
      <c r="C71" s="54" t="inlineStr">
        <is>
          <t>1159012</t>
        </is>
      </c>
      <c r="D71" s="54" t="inlineStr">
        <is>
          <t>Accr Sep Interest Due -11159012</t>
        </is>
      </c>
      <c r="E71" s="175" t="n"/>
      <c r="F71" s="176" t="n">
        <v>-23616.05</v>
      </c>
      <c r="G71" s="176" t="n">
        <v>23616.05</v>
      </c>
    </row>
    <row r="72" hidden="1" outlineLevel="1" s="192">
      <c r="B72" s="51" t="inlineStr">
        <is>
          <t>10/25</t>
        </is>
      </c>
      <c r="C72" s="51" t="n"/>
      <c r="D72" s="51" t="inlineStr">
        <is>
          <t>September 2025 Accrual Reversal</t>
        </is>
      </c>
      <c r="E72" s="174" t="n"/>
      <c r="F72" s="173" t="n">
        <v>656816.51</v>
      </c>
      <c r="G72" s="173" t="n">
        <v>-656816.51</v>
      </c>
    </row>
    <row r="73" hidden="1" outlineLevel="1" s="192">
      <c r="B73" s="54" t="inlineStr">
        <is>
          <t>10/25</t>
        </is>
      </c>
      <c r="C73" s="54" t="inlineStr">
        <is>
          <t>1159010</t>
        </is>
      </c>
      <c r="D73" s="54" t="inlineStr">
        <is>
          <t>Sep Interest Payment</t>
        </is>
      </c>
      <c r="E73" s="175" t="n"/>
      <c r="F73" s="175" t="n"/>
      <c r="G73" s="176" t="n">
        <v>420655.98</v>
      </c>
    </row>
    <row r="74" hidden="1" outlineLevel="1" s="192">
      <c r="B74" s="51" t="inlineStr">
        <is>
          <t>10/25</t>
        </is>
      </c>
      <c r="C74" s="51" t="inlineStr">
        <is>
          <t>1159011</t>
        </is>
      </c>
      <c r="D74" s="51" t="inlineStr">
        <is>
          <t>Sep Interest Payment</t>
        </is>
      </c>
      <c r="E74" s="174" t="n"/>
      <c r="F74" s="174" t="n"/>
      <c r="G74" s="173" t="n">
        <v>212544.48</v>
      </c>
    </row>
    <row r="75" hidden="1" outlineLevel="1" s="192">
      <c r="B75" s="54" t="inlineStr">
        <is>
          <t>10/25</t>
        </is>
      </c>
      <c r="C75" s="54" t="inlineStr">
        <is>
          <t>1159012</t>
        </is>
      </c>
      <c r="D75" s="54" t="inlineStr">
        <is>
          <t>Sep Interest Payment</t>
        </is>
      </c>
      <c r="E75" s="175" t="n"/>
      <c r="F75" s="175" t="n"/>
      <c r="G75" s="176" t="n">
        <v>23616.05</v>
      </c>
    </row>
    <row r="76" hidden="1" outlineLevel="1" s="192">
      <c r="B76" s="51" t="inlineStr">
        <is>
          <t>10/25</t>
        </is>
      </c>
      <c r="C76" s="51" t="inlineStr">
        <is>
          <t>1159010</t>
        </is>
      </c>
      <c r="D76" s="51" t="inlineStr">
        <is>
          <t>Accr Oct Interest Due -11159010</t>
        </is>
      </c>
      <c r="E76" s="174" t="n"/>
      <c r="F76" s="173" t="n">
        <v>-427896.67</v>
      </c>
      <c r="G76" s="173" t="n">
        <v>427896.67</v>
      </c>
    </row>
    <row r="77" hidden="1" outlineLevel="1" s="192">
      <c r="B77" s="54" t="inlineStr">
        <is>
          <t>10/25</t>
        </is>
      </c>
      <c r="C77" s="54" t="inlineStr">
        <is>
          <t>1159011</t>
        </is>
      </c>
      <c r="D77" s="54" t="inlineStr">
        <is>
          <t>Accr Oct Interest Due -11159011</t>
        </is>
      </c>
      <c r="E77" s="175" t="n"/>
      <c r="F77" s="176" t="n">
        <v>-217594.94</v>
      </c>
      <c r="G77" s="176" t="n">
        <v>217594.94</v>
      </c>
    </row>
    <row r="78" hidden="1" outlineLevel="1" s="192">
      <c r="B78" s="51" t="inlineStr">
        <is>
          <t>10/25</t>
        </is>
      </c>
      <c r="C78" s="51" t="inlineStr">
        <is>
          <t>1159012</t>
        </is>
      </c>
      <c r="D78" s="51" t="inlineStr">
        <is>
          <t>Accr Oct Interest Due -11159012</t>
        </is>
      </c>
      <c r="E78" s="174" t="n"/>
      <c r="F78" s="173" t="n">
        <v>-24177.22</v>
      </c>
      <c r="G78" s="173" t="n">
        <v>24177.22</v>
      </c>
    </row>
    <row r="79" hidden="1" outlineLevel="1" s="192">
      <c r="B79" s="54" t="inlineStr">
        <is>
          <t>11/25</t>
        </is>
      </c>
      <c r="C79" s="54" t="n"/>
      <c r="D79" s="54" t="inlineStr">
        <is>
          <t>October 2025 Accrual Reversal</t>
        </is>
      </c>
      <c r="E79" s="175" t="n"/>
      <c r="F79" s="176" t="n">
        <v>669668.83</v>
      </c>
      <c r="G79" s="176" t="n">
        <v>-669668.83</v>
      </c>
    </row>
    <row r="80" hidden="1" outlineLevel="1" s="192">
      <c r="B80" s="51" t="inlineStr">
        <is>
          <t>11/25</t>
        </is>
      </c>
      <c r="C80" s="51" t="inlineStr">
        <is>
          <t>1159010</t>
        </is>
      </c>
      <c r="D80" s="51" t="inlineStr">
        <is>
          <t>Nov Interest Payment</t>
        </is>
      </c>
      <c r="E80" s="174" t="n"/>
      <c r="F80" s="174" t="n"/>
      <c r="G80" s="173" t="n">
        <v>427896.67</v>
      </c>
    </row>
    <row r="81" hidden="1" outlineLevel="1" s="192">
      <c r="B81" s="54" t="inlineStr">
        <is>
          <t>11/25</t>
        </is>
      </c>
      <c r="C81" s="54" t="inlineStr">
        <is>
          <t>1159011</t>
        </is>
      </c>
      <c r="D81" s="54" t="inlineStr">
        <is>
          <t>Nov Interest Payment</t>
        </is>
      </c>
      <c r="E81" s="175" t="n"/>
      <c r="F81" s="175" t="n"/>
      <c r="G81" s="176" t="n">
        <v>217594.94</v>
      </c>
    </row>
    <row r="82" hidden="1" outlineLevel="1" s="192">
      <c r="B82" s="51" t="inlineStr">
        <is>
          <t>11/25</t>
        </is>
      </c>
      <c r="C82" s="51" t="inlineStr">
        <is>
          <t>1159012</t>
        </is>
      </c>
      <c r="D82" s="51" t="inlineStr">
        <is>
          <t>Nov Interest Payment</t>
        </is>
      </c>
      <c r="E82" s="174" t="n"/>
      <c r="F82" s="174" t="n"/>
      <c r="G82" s="173" t="n">
        <v>24177.22</v>
      </c>
    </row>
    <row r="83" hidden="1" outlineLevel="1" s="192">
      <c r="B83" s="54" t="inlineStr">
        <is>
          <t>11/25</t>
        </is>
      </c>
      <c r="C83" s="54" t="inlineStr">
        <is>
          <t>1159010</t>
        </is>
      </c>
      <c r="D83" s="54" t="inlineStr">
        <is>
          <t>Accr Nov Interest Due -11159010</t>
        </is>
      </c>
      <c r="E83" s="175" t="n"/>
      <c r="F83" s="176" t="n">
        <v>-407934.08</v>
      </c>
      <c r="G83" s="176" t="n">
        <v>407934.08</v>
      </c>
    </row>
    <row r="84" hidden="1" outlineLevel="1" s="192">
      <c r="B84" s="51" t="inlineStr">
        <is>
          <t>11/25</t>
        </is>
      </c>
      <c r="C84" s="51" t="inlineStr">
        <is>
          <t>1159011</t>
        </is>
      </c>
      <c r="D84" s="51" t="inlineStr">
        <is>
          <t>Accr Nov Interest Due -11159011</t>
        </is>
      </c>
      <c r="E84" s="174" t="n"/>
      <c r="F84" s="173" t="n">
        <v>-208727.91</v>
      </c>
      <c r="G84" s="173" t="n">
        <v>208727.91</v>
      </c>
    </row>
    <row r="85" hidden="1" outlineLevel="1" s="192">
      <c r="B85" s="54" t="inlineStr">
        <is>
          <t>11/25</t>
        </is>
      </c>
      <c r="C85" s="54" t="inlineStr">
        <is>
          <t>1159012</t>
        </is>
      </c>
      <c r="D85" s="54" t="inlineStr">
        <is>
          <t>Accr Nov Interest Due -11159012</t>
        </is>
      </c>
      <c r="E85" s="175" t="n"/>
      <c r="F85" s="176" t="n">
        <v>-23191.99</v>
      </c>
      <c r="G85" s="176" t="n">
        <v>23191.99</v>
      </c>
    </row>
    <row r="86" hidden="1" outlineLevel="1" s="192">
      <c r="B86" s="51" t="inlineStr">
        <is>
          <t>12/25</t>
        </is>
      </c>
      <c r="C86" s="51" t="n"/>
      <c r="D86" s="51" t="inlineStr">
        <is>
          <t>November 2025 Accrual Reversal</t>
        </is>
      </c>
      <c r="E86" s="174" t="n"/>
      <c r="F86" s="173" t="n">
        <v>639853.98</v>
      </c>
      <c r="G86" s="173" t="n">
        <v>-639853.98</v>
      </c>
    </row>
    <row r="87" hidden="1" outlineLevel="1" s="192">
      <c r="B87" s="54" t="inlineStr">
        <is>
          <t>12/25</t>
        </is>
      </c>
      <c r="C87" s="54" t="inlineStr">
        <is>
          <t>1159010</t>
        </is>
      </c>
      <c r="D87" s="54" t="inlineStr">
        <is>
          <t>Dec Interest Payment</t>
        </is>
      </c>
      <c r="E87" s="175" t="n"/>
      <c r="F87" s="175" t="n"/>
      <c r="G87" s="176" t="n">
        <v>407934.08</v>
      </c>
    </row>
    <row r="88" hidden="1" outlineLevel="1" s="192">
      <c r="B88" s="51" t="inlineStr">
        <is>
          <t>12/25</t>
        </is>
      </c>
      <c r="C88" s="51" t="inlineStr">
        <is>
          <t>1159011</t>
        </is>
      </c>
      <c r="D88" s="51" t="inlineStr">
        <is>
          <t>Dec Interest Payment</t>
        </is>
      </c>
      <c r="E88" s="174" t="n"/>
      <c r="F88" s="174" t="n"/>
      <c r="G88" s="173" t="n">
        <v>208727.91</v>
      </c>
    </row>
    <row r="89" hidden="1" outlineLevel="1" s="192">
      <c r="B89" s="54" t="inlineStr">
        <is>
          <t>12/25</t>
        </is>
      </c>
      <c r="C89" s="54" t="inlineStr">
        <is>
          <t>1159012</t>
        </is>
      </c>
      <c r="D89" s="54" t="inlineStr">
        <is>
          <t>Dec Interest Payment</t>
        </is>
      </c>
      <c r="E89" s="175" t="n"/>
      <c r="F89" s="175" t="n"/>
      <c r="G89" s="176" t="n">
        <v>23191.99</v>
      </c>
    </row>
    <row r="90" hidden="1" outlineLevel="1" s="192">
      <c r="B90" s="51" t="inlineStr">
        <is>
          <t>12/25</t>
        </is>
      </c>
      <c r="C90" s="51" t="inlineStr">
        <is>
          <t>1159010</t>
        </is>
      </c>
      <c r="D90" s="51" t="inlineStr">
        <is>
          <t>Accr Dec Interest Due -11159010</t>
        </is>
      </c>
      <c r="E90" s="174" t="n"/>
      <c r="F90" s="173" t="n">
        <v>-409694.58</v>
      </c>
      <c r="G90" s="173" t="n">
        <v>409694.58</v>
      </c>
    </row>
    <row r="91" hidden="1" outlineLevel="1" s="192">
      <c r="B91" s="54" t="inlineStr">
        <is>
          <t>12/25</t>
        </is>
      </c>
      <c r="C91" s="54" t="inlineStr">
        <is>
          <t>1159011</t>
        </is>
      </c>
      <c r="D91" s="54" t="inlineStr">
        <is>
          <t>Accr Dec Interest Due -11159011</t>
        </is>
      </c>
      <c r="E91" s="175" t="n"/>
      <c r="F91" s="176" t="n">
        <v>-212134.31</v>
      </c>
      <c r="G91" s="176" t="n">
        <v>212134.31</v>
      </c>
    </row>
    <row r="92" hidden="1" outlineLevel="1" s="192">
      <c r="B92" s="51" t="inlineStr">
        <is>
          <t>12/25</t>
        </is>
      </c>
      <c r="C92" s="51" t="inlineStr">
        <is>
          <t>1159012</t>
        </is>
      </c>
      <c r="D92" s="51" t="inlineStr">
        <is>
          <t>Accr Dec Interest Due -11159012</t>
        </is>
      </c>
      <c r="E92" s="174" t="n"/>
      <c r="F92" s="173" t="n">
        <v>-23570.48</v>
      </c>
      <c r="G92" s="173" t="n">
        <v>23570.48</v>
      </c>
    </row>
    <row r="93" collapsed="1" s="192">
      <c r="B93" s="54" t="inlineStr">
        <is>
          <t>01/26</t>
        </is>
      </c>
      <c r="C93" s="54" t="n"/>
      <c r="D93" s="54" t="inlineStr">
        <is>
          <t>December 2025 Accrual Reversal</t>
        </is>
      </c>
      <c r="E93" s="175" t="n"/>
      <c r="F93" s="176" t="n">
        <v>645399.37</v>
      </c>
      <c r="G93" s="176" t="n">
        <v>-645399.37</v>
      </c>
    </row>
    <row r="94">
      <c r="B94" s="51" t="inlineStr">
        <is>
          <t>01/26</t>
        </is>
      </c>
      <c r="C94" s="51" t="inlineStr">
        <is>
          <t>1159010</t>
        </is>
      </c>
      <c r="D94" s="51" t="inlineStr">
        <is>
          <t>Jan Interest Payment</t>
        </is>
      </c>
      <c r="E94" s="174" t="n"/>
      <c r="F94" s="174" t="n"/>
      <c r="G94" s="173" t="n">
        <v>409694.58</v>
      </c>
    </row>
    <row r="95">
      <c r="B95" s="54" t="inlineStr">
        <is>
          <t>01/26</t>
        </is>
      </c>
      <c r="C95" s="54" t="inlineStr">
        <is>
          <t>1159011</t>
        </is>
      </c>
      <c r="D95" s="54" t="inlineStr">
        <is>
          <t>Jan Interest Payment</t>
        </is>
      </c>
      <c r="E95" s="175" t="n"/>
      <c r="F95" s="175" t="n"/>
      <c r="G95" s="176" t="n">
        <v>212134.31</v>
      </c>
    </row>
    <row r="96">
      <c r="B96" s="51" t="inlineStr">
        <is>
          <t>01/26</t>
        </is>
      </c>
      <c r="C96" s="51" t="inlineStr">
        <is>
          <t>1159012</t>
        </is>
      </c>
      <c r="D96" s="51" t="inlineStr">
        <is>
          <t>Jan Interest Payment</t>
        </is>
      </c>
      <c r="E96" s="174" t="n"/>
      <c r="F96" s="174" t="n"/>
      <c r="G96" s="173" t="n">
        <v>23570.48</v>
      </c>
    </row>
    <row r="97">
      <c r="B97" s="54" t="inlineStr">
        <is>
          <t>01/26</t>
        </is>
      </c>
      <c r="C97" s="54" t="inlineStr">
        <is>
          <t>1159010</t>
        </is>
      </c>
      <c r="D97" s="54" t="inlineStr">
        <is>
          <t>Accr Jan Interest Due -11159010</t>
        </is>
      </c>
      <c r="E97" s="175" t="n"/>
      <c r="F97" s="176" t="n">
        <v>-403805.67</v>
      </c>
      <c r="G97" s="176" t="n">
        <v>403805.67</v>
      </c>
    </row>
    <row r="98">
      <c r="B98" s="51" t="inlineStr">
        <is>
          <t>01/26</t>
        </is>
      </c>
      <c r="C98" s="51" t="inlineStr">
        <is>
          <t>1159011</t>
        </is>
      </c>
      <c r="D98" s="51" t="inlineStr">
        <is>
          <t>Accr Jan Interest Due -11159011</t>
        </is>
      </c>
      <c r="E98" s="174" t="n"/>
      <c r="F98" s="173" t="n">
        <v>-210367.64</v>
      </c>
      <c r="G98" s="173" t="n">
        <v>210367.64</v>
      </c>
    </row>
    <row r="99">
      <c r="B99" s="54" t="inlineStr">
        <is>
          <t>01/26</t>
        </is>
      </c>
      <c r="C99" s="54" t="inlineStr">
        <is>
          <t>1159012</t>
        </is>
      </c>
      <c r="D99" s="54" t="inlineStr">
        <is>
          <t>Accr Jan Interest Due -11159012</t>
        </is>
      </c>
      <c r="E99" s="175" t="n"/>
      <c r="F99" s="176" t="n">
        <v>-23374.18</v>
      </c>
      <c r="G99" s="176" t="n">
        <v>23374.18</v>
      </c>
    </row>
    <row r="100" ht="15" customHeight="1" s="192" thickBot="1"/>
    <row r="101">
      <c r="B101" s="168" t="inlineStr">
        <is>
          <t>Ending Balance per GL</t>
        </is>
      </c>
      <c r="C101" s="169" t="n"/>
      <c r="D101" s="168" t="n"/>
      <c r="E101" s="114">
        <f>SUM(E8:E100)</f>
        <v/>
      </c>
      <c r="F101" s="114">
        <f>SUM(F8:F100)</f>
        <v/>
      </c>
      <c r="G101" s="114">
        <f>SUM(G93:G99)</f>
        <v/>
      </c>
    </row>
    <row r="102">
      <c r="B102" s="111" t="inlineStr">
        <is>
          <t>Ending Balance per TB</t>
        </is>
      </c>
      <c r="C102" s="112" t="n"/>
      <c r="D102" s="111" t="n"/>
      <c r="E102" s="88">
        <f>VLOOKUP(E6,'Trial Balance'!$A:$F,6,0)</f>
        <v/>
      </c>
      <c r="F102" s="88">
        <f>VLOOKUP(F6,'Trial Balance'!$A:$F,6,0)</f>
        <v/>
      </c>
      <c r="G102" s="88">
        <f>VLOOKUP(G6,'Trial Balance'!$A:$F,6,0)</f>
        <v/>
      </c>
    </row>
    <row r="103">
      <c r="B103" s="86" t="inlineStr">
        <is>
          <t>Variance</t>
        </is>
      </c>
      <c r="C103" s="256" t="n"/>
      <c r="D103" s="118" t="n"/>
      <c r="E103" s="97">
        <f>E102-E101</f>
        <v/>
      </c>
      <c r="F103" s="97">
        <f>F102-F101</f>
        <v/>
      </c>
      <c r="G103" s="97">
        <f>G102-G101</f>
        <v/>
      </c>
    </row>
    <row r="104">
      <c r="F104" s="50" t="n"/>
    </row>
    <row r="106">
      <c r="D106" s="57" t="n"/>
      <c r="G106" s="50" t="n"/>
    </row>
    <row r="107">
      <c r="G107" s="50" t="n"/>
    </row>
  </sheetData>
  <mergeCells count="7">
    <mergeCell ref="B3:D3"/>
    <mergeCell ref="B2:C2"/>
    <mergeCell ref="E2:F2"/>
    <mergeCell ref="B103:C103"/>
    <mergeCell ref="E1:F1"/>
    <mergeCell ref="E3:G3"/>
    <mergeCell ref="B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0070C0"/>
    <outlinePr summaryBelow="1" summaryRight="1"/>
    <pageSetUpPr/>
  </sheetPr>
  <dimension ref="B1:L18"/>
  <sheetViews>
    <sheetView workbookViewId="0">
      <selection activeCell="E6" sqref="E6"/>
    </sheetView>
  </sheetViews>
  <sheetFormatPr baseColWidth="8" defaultRowHeight="14.4"/>
  <cols>
    <col width="2" customWidth="1" style="192" min="1" max="1"/>
    <col width="28.44140625" bestFit="1" customWidth="1" style="192" min="2" max="2"/>
    <col width="32" customWidth="1" style="192" min="3" max="3"/>
    <col width="32" customWidth="1" style="192" min="4" max="6"/>
    <col width="14" customWidth="1" style="192" min="7" max="8"/>
    <col width="14" customWidth="1" style="192" min="9" max="9"/>
    <col width="16" customWidth="1" style="192" min="10" max="12"/>
  </cols>
  <sheetData>
    <row r="1" ht="18" customHeight="1" s="192">
      <c r="B1" s="98" t="inlineStr">
        <is>
          <t>135150</t>
        </is>
      </c>
      <c r="D1" s="98" t="n"/>
      <c r="E1" s="98" t="n"/>
      <c r="F1" s="98" t="n"/>
      <c r="G1" s="94" t="n"/>
      <c r="H1" s="94" t="n"/>
      <c r="I1" s="94" t="n"/>
      <c r="J1" s="94" t="n"/>
      <c r="K1" s="98" t="n"/>
    </row>
    <row r="2" ht="18" customHeight="1" s="192">
      <c r="B2" s="98" t="inlineStr">
        <is>
          <t>Prepaid - Other</t>
        </is>
      </c>
      <c r="D2" s="98" t="n"/>
      <c r="E2" s="98" t="n"/>
      <c r="F2" s="98" t="n"/>
      <c r="G2" s="94" t="n"/>
      <c r="H2" s="94" t="n"/>
      <c r="I2" s="94" t="n"/>
      <c r="J2" s="94" t="n"/>
      <c r="K2" s="98" t="n"/>
    </row>
    <row r="3">
      <c r="B3" s="138" t="inlineStr">
        <is>
          <t>revlabs  |  Period: Jan-2026  |  Prepared: 05/12/2026</t>
        </is>
      </c>
      <c r="D3" s="138" t="n"/>
      <c r="E3" s="138" t="n"/>
      <c r="F3" s="138" t="n"/>
      <c r="G3" s="94" t="n"/>
      <c r="H3" s="94" t="n"/>
      <c r="I3" s="94" t="n"/>
      <c r="J3" s="94" t="n"/>
      <c r="K3" s="138" t="n"/>
    </row>
    <row r="4">
      <c r="K4" s="153" t="n"/>
    </row>
    <row r="5" ht="18" customHeight="1" s="192">
      <c r="B5" s="1" t="inlineStr">
        <is>
          <t>Vendor</t>
        </is>
      </c>
      <c r="C5" s="1" t="inlineStr">
        <is>
          <t>Description</t>
        </is>
      </c>
      <c r="D5" s="81" t="inlineStr">
        <is>
          <t>Invoice Number</t>
        </is>
      </c>
      <c r="E5" s="81" t="inlineStr">
        <is>
          <t>Invoice Date</t>
        </is>
      </c>
      <c r="F5" s="81" t="inlineStr">
        <is>
          <t>G/L Account</t>
        </is>
      </c>
      <c r="G5" s="1" t="inlineStr">
        <is>
          <t>Start Date</t>
        </is>
      </c>
      <c r="H5" s="1" t="inlineStr">
        <is>
          <t>End Date</t>
        </is>
      </c>
      <c r="I5" s="1" t="n"/>
      <c r="J5" s="1" t="inlineStr">
        <is>
          <t>Monthly Amt</t>
        </is>
      </c>
      <c r="K5" s="1" t="inlineStr">
        <is>
          <t>Months Amort.</t>
        </is>
      </c>
      <c r="L5" s="1" t="inlineStr">
        <is>
          <t>Remaining</t>
        </is>
      </c>
    </row>
    <row r="6" ht="18" customHeight="1" s="192">
      <c r="B6" s="48" t="inlineStr">
        <is>
          <t>Greatland Realty Partners LLC</t>
        </is>
      </c>
      <c r="C6" s="48" t="inlineStr">
        <is>
          <t>Kardin Property Budgeting Software</t>
        </is>
      </c>
      <c r="D6" s="48" t="inlineStr">
        <is>
          <t>RevLabsKardin25</t>
        </is>
      </c>
      <c r="E6" s="162" t="n">
        <v>45692</v>
      </c>
      <c r="F6" s="48" t="inlineStr">
        <is>
          <t>637370</t>
        </is>
      </c>
      <c r="G6" s="258" t="n">
        <v>45717</v>
      </c>
      <c r="H6" s="258" t="n">
        <v>46081</v>
      </c>
      <c r="I6" s="165" t="n">
        <v>992.58</v>
      </c>
      <c r="J6" s="165">
        <f>I6/DATEDIF(G6,H6+1,"M")</f>
        <v/>
      </c>
      <c r="K6" s="165">
        <f>J6*DATEDIF(G6,'Summary Page'!$C$4+1,"M")</f>
        <v/>
      </c>
      <c r="L6" s="165">
        <f>I6-K6</f>
        <v/>
      </c>
    </row>
    <row r="7" ht="18" customHeight="1" s="192">
      <c r="B7" s="161" t="inlineStr">
        <is>
          <t>Stewart Management Company</t>
        </is>
      </c>
      <c r="C7" s="161" t="inlineStr">
        <is>
          <t>Special Member Services</t>
        </is>
      </c>
      <c r="D7" s="161" t="n">
        <v>69655</v>
      </c>
      <c r="E7" s="163" t="n">
        <v>45748</v>
      </c>
      <c r="F7" s="161" t="inlineStr">
        <is>
          <t>680110</t>
        </is>
      </c>
      <c r="G7" s="259" t="n">
        <v>45748</v>
      </c>
      <c r="H7" s="259" t="n">
        <v>46112</v>
      </c>
      <c r="I7" s="167" t="n">
        <v>1500</v>
      </c>
      <c r="J7" s="167">
        <f>I7/DATEDIF(G7,H7+1,"M")</f>
        <v/>
      </c>
      <c r="K7" s="167">
        <f>J7*DATEDIF(G7,'Summary Page'!$C$4+1,"M")</f>
        <v/>
      </c>
      <c r="L7" s="167">
        <f>I7-K7</f>
        <v/>
      </c>
    </row>
    <row r="8" ht="18" customHeight="1" s="192">
      <c r="B8" s="48" t="inlineStr">
        <is>
          <t>Stewart Management Company</t>
        </is>
      </c>
      <c r="C8" s="48" t="inlineStr">
        <is>
          <t>Special Member Services</t>
        </is>
      </c>
      <c r="D8" s="48" t="n">
        <v>69656</v>
      </c>
      <c r="E8" s="162" t="n">
        <v>45748</v>
      </c>
      <c r="F8" s="48" t="inlineStr">
        <is>
          <t>680110</t>
        </is>
      </c>
      <c r="G8" s="258" t="n">
        <v>45748</v>
      </c>
      <c r="H8" s="258" t="n">
        <v>46112</v>
      </c>
      <c r="I8" s="165" t="n">
        <v>1500</v>
      </c>
      <c r="J8" s="165">
        <f>I8/DATEDIF(G8,H8+1,"M")</f>
        <v/>
      </c>
      <c r="K8" s="165">
        <f>J8*DATEDIF(G8,'Summary Page'!$C$4+1,"M")</f>
        <v/>
      </c>
      <c r="L8" s="165">
        <f>I8-K8</f>
        <v/>
      </c>
    </row>
    <row r="9" ht="18" customHeight="1" s="192">
      <c r="B9" s="161" t="inlineStr">
        <is>
          <t>CT CORPORATION SYSTEM</t>
        </is>
      </c>
      <c r="C9" s="161" t="inlineStr">
        <is>
          <t>Filing Fee</t>
        </is>
      </c>
      <c r="D9" s="161" t="inlineStr">
        <is>
          <t>5009223719-01</t>
        </is>
      </c>
      <c r="E9" s="163" t="n">
        <v>45778</v>
      </c>
      <c r="F9" s="161" t="inlineStr">
        <is>
          <t>680110</t>
        </is>
      </c>
      <c r="G9" s="259" t="n">
        <v>45809</v>
      </c>
      <c r="H9" s="259" t="n">
        <v>46173</v>
      </c>
      <c r="I9" s="167" t="n">
        <v>915.2</v>
      </c>
      <c r="J9" s="167">
        <f>I9/DATEDIF(G9,H9+1,"M")</f>
        <v/>
      </c>
      <c r="K9" s="167">
        <f>J9*DATEDIF(G9,'Summary Page'!$C$4+1,"M")</f>
        <v/>
      </c>
      <c r="L9" s="167">
        <f>I9-K9</f>
        <v/>
      </c>
    </row>
    <row r="10" ht="18" customHeight="1" s="192">
      <c r="B10" s="48" t="inlineStr">
        <is>
          <t>CT CORPORATION SYSTEM</t>
        </is>
      </c>
      <c r="C10" s="48" t="inlineStr">
        <is>
          <t>Filing Fee</t>
        </is>
      </c>
      <c r="D10" s="48" t="inlineStr">
        <is>
          <t>5009224035-01</t>
        </is>
      </c>
      <c r="E10" s="162" t="n">
        <v>45778</v>
      </c>
      <c r="F10" s="48" t="inlineStr">
        <is>
          <t>680110</t>
        </is>
      </c>
      <c r="G10" s="258" t="n">
        <v>45809</v>
      </c>
      <c r="H10" s="258" t="n">
        <v>46173</v>
      </c>
      <c r="I10" s="165" t="n">
        <v>607.6</v>
      </c>
      <c r="J10" s="165">
        <f>I10/DATEDIF(G10,H10+1,"M")</f>
        <v/>
      </c>
      <c r="K10" s="165">
        <f>J10*DATEDIF(G10,'Summary Page'!$C$4+1,"M")</f>
        <v/>
      </c>
      <c r="L10" s="165">
        <f>I10-K10</f>
        <v/>
      </c>
    </row>
    <row r="11" ht="18" customHeight="1" s="192">
      <c r="B11" s="161" t="inlineStr">
        <is>
          <t>CT CORPORATION SYSTEM</t>
        </is>
      </c>
      <c r="C11" s="161" t="inlineStr">
        <is>
          <t>Filing Fee</t>
        </is>
      </c>
      <c r="D11" s="161" t="inlineStr">
        <is>
          <t>5009225232-1</t>
        </is>
      </c>
      <c r="E11" s="163" t="n">
        <v>45778</v>
      </c>
      <c r="F11" s="161" t="inlineStr">
        <is>
          <t>680110</t>
        </is>
      </c>
      <c r="G11" s="259" t="n">
        <v>45809</v>
      </c>
      <c r="H11" s="259" t="n">
        <v>46173</v>
      </c>
      <c r="I11" s="167" t="n">
        <v>607.6</v>
      </c>
      <c r="J11" s="167">
        <f>I11/DATEDIF(G11,H11+1,"M")</f>
        <v/>
      </c>
      <c r="K11" s="167">
        <f>J11*DATEDIF(G11,'Summary Page'!$C$4+1,"M")</f>
        <v/>
      </c>
      <c r="L11" s="167">
        <f>I11-K11</f>
        <v/>
      </c>
    </row>
    <row r="12" ht="18" customHeight="1" s="192">
      <c r="B12" s="48" t="inlineStr">
        <is>
          <t>Dynamic Media</t>
        </is>
      </c>
      <c r="C12" s="48" t="inlineStr">
        <is>
          <t>Annula Streaming Service</t>
        </is>
      </c>
      <c r="D12" s="48" t="n">
        <v>1727601</v>
      </c>
      <c r="E12" s="162" t="n">
        <v>45870</v>
      </c>
      <c r="F12" s="48" t="inlineStr">
        <is>
          <t>637330</t>
        </is>
      </c>
      <c r="G12" s="258" t="n">
        <v>45901</v>
      </c>
      <c r="H12" s="258" t="n">
        <v>46265</v>
      </c>
      <c r="I12" s="165" t="n">
        <v>670.8</v>
      </c>
      <c r="J12" s="165">
        <f>I12/DATEDIF(G12,H12+1,"M")</f>
        <v/>
      </c>
      <c r="K12" s="165">
        <f>J12*DATEDIF(G12,'Summary Page'!$C$4+1,"M")</f>
        <v/>
      </c>
      <c r="L12" s="165">
        <f>I12-K12</f>
        <v/>
      </c>
    </row>
    <row r="13" ht="18" customHeight="1" s="192">
      <c r="B13" s="161" t="inlineStr">
        <is>
          <t>Prophia Inc</t>
        </is>
      </c>
      <c r="C13" s="161" t="inlineStr">
        <is>
          <t>Prophia Subscprition</t>
        </is>
      </c>
      <c r="D13" s="161" t="n">
        <v>3305</v>
      </c>
      <c r="E13" s="163" t="n">
        <v>45946</v>
      </c>
      <c r="F13" s="161" t="inlineStr">
        <is>
          <t>680510</t>
        </is>
      </c>
      <c r="G13" s="259" t="n">
        <v>45950</v>
      </c>
      <c r="H13" s="259" t="n">
        <v>46314</v>
      </c>
      <c r="I13" s="167" t="n">
        <v>1500</v>
      </c>
      <c r="J13" s="167">
        <f>I13/DATEDIF(G13,H13+1,"M")</f>
        <v/>
      </c>
      <c r="K13" s="167">
        <f>J13*DATEDIF(G13,'Summary Page'!$C$4+1,"M")</f>
        <v/>
      </c>
      <c r="L13" s="167">
        <f>I13-K13</f>
        <v/>
      </c>
    </row>
    <row r="14" ht="18" customHeight="1" s="192">
      <c r="B14" s="48" t="inlineStr">
        <is>
          <t>Apex Computers, Inc.</t>
        </is>
      </c>
      <c r="C14" s="48" t="inlineStr">
        <is>
          <t>Annual Firewall, Switch Wireless</t>
        </is>
      </c>
      <c r="D14" s="48" t="n">
        <v>128260</v>
      </c>
      <c r="E14" s="162" t="n">
        <v>46023</v>
      </c>
      <c r="F14" s="48" t="n">
        <v>637370</v>
      </c>
      <c r="G14" s="258" t="n">
        <v>46023</v>
      </c>
      <c r="H14" s="258" t="n">
        <v>46387</v>
      </c>
      <c r="I14" s="165" t="n">
        <v>3750</v>
      </c>
      <c r="J14" s="165">
        <f>I14/DATEDIF(G14,H14+1,"M")</f>
        <v/>
      </c>
      <c r="K14" s="165">
        <f>J14*DATEDIF(G14,'Summary Page'!$C$4+1,"M")</f>
        <v/>
      </c>
      <c r="L14" s="165">
        <f>I14-K14</f>
        <v/>
      </c>
    </row>
    <row r="15" ht="15" customHeight="1" s="192" thickBot="1">
      <c r="B15" s="9" t="n"/>
      <c r="C15" s="9" t="n"/>
      <c r="D15" s="8" t="n"/>
      <c r="E15" s="8" t="n"/>
      <c r="F15" s="8" t="n"/>
      <c r="G15" s="9" t="n"/>
      <c r="H15" s="9" t="n"/>
      <c r="I15" s="8" t="n"/>
      <c r="J15" s="9" t="n"/>
      <c r="K15" s="9" t="n"/>
      <c r="L15" s="9" t="n"/>
    </row>
    <row r="16">
      <c r="B16" s="89" t="inlineStr">
        <is>
          <t>Ending Balance per GL</t>
        </is>
      </c>
      <c r="C16" s="254" t="n"/>
      <c r="D16" s="254" t="n"/>
      <c r="E16" s="156" t="n"/>
      <c r="F16" s="260" t="n"/>
      <c r="G16" s="260" t="n"/>
      <c r="H16" s="156" t="n"/>
      <c r="I16" s="260" t="n"/>
      <c r="J16" s="260" t="n"/>
      <c r="K16" s="160" t="n"/>
      <c r="L16" s="91">
        <f>SUM(L6:L14)</f>
        <v/>
      </c>
    </row>
    <row r="17">
      <c r="B17" s="82" t="inlineStr">
        <is>
          <t>Ending Balance per TB</t>
        </is>
      </c>
      <c r="C17" s="256" t="n"/>
      <c r="D17" s="256" t="n"/>
      <c r="E17" s="94" t="n"/>
      <c r="H17" s="94" t="n"/>
      <c r="K17" s="139" t="n"/>
      <c r="L17" s="88">
        <f>VLOOKUP(B1,'Trial Balance'!$A:$F,6,0)</f>
        <v/>
      </c>
    </row>
    <row r="18">
      <c r="B18" s="86" t="inlineStr">
        <is>
          <t>Variance</t>
        </is>
      </c>
      <c r="C18" s="256" t="n"/>
      <c r="D18" s="256" t="n"/>
      <c r="E18" s="157" t="n"/>
      <c r="F18" s="261" t="n"/>
      <c r="G18" s="261" t="n"/>
      <c r="H18" s="157" t="n"/>
      <c r="I18" s="261" t="n"/>
      <c r="J18" s="261" t="n"/>
      <c r="K18" s="159" t="n"/>
      <c r="L18" s="97">
        <f>L16-L17</f>
        <v/>
      </c>
    </row>
  </sheetData>
  <mergeCells count="15">
    <mergeCell ref="H16:J16"/>
    <mergeCell ref="B2:C2"/>
    <mergeCell ref="H18:J18"/>
    <mergeCell ref="B3:C3"/>
    <mergeCell ref="K2:L2"/>
    <mergeCell ref="K1:L1"/>
    <mergeCell ref="B17:D17"/>
    <mergeCell ref="B18:D18"/>
    <mergeCell ref="E17:G17"/>
    <mergeCell ref="E18:G18"/>
    <mergeCell ref="H17:J17"/>
    <mergeCell ref="B1:C1"/>
    <mergeCell ref="B16:D16"/>
    <mergeCell ref="K3:L3"/>
    <mergeCell ref="E16:G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0070C0"/>
    <outlinePr summaryBelow="1" summaryRight="1"/>
    <pageSetUpPr/>
  </sheetPr>
  <dimension ref="B1:F1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1" sqref="B1:C2"/>
    </sheetView>
  </sheetViews>
  <sheetFormatPr baseColWidth="8" defaultRowHeight="14.4"/>
  <cols>
    <col width="2" customWidth="1" style="192" min="1" max="1"/>
    <col width="12" customWidth="1" style="192" min="2" max="2"/>
    <col width="58" customWidth="1" style="192" min="3" max="3"/>
    <col width="18" customWidth="1" style="192" min="4" max="4"/>
    <col width="15.33203125" customWidth="1" style="192" min="5" max="5"/>
  </cols>
  <sheetData>
    <row r="1" ht="18" customHeight="1" s="192">
      <c r="B1" s="98" t="inlineStr">
        <is>
          <t>141100</t>
        </is>
      </c>
      <c r="D1" s="94" t="n"/>
      <c r="E1" s="94" t="n"/>
      <c r="F1" s="94" t="n"/>
    </row>
    <row r="2" ht="18" customHeight="1" s="192">
      <c r="B2" s="98" t="inlineStr">
        <is>
          <t>Due From/(To) Related Parties</t>
        </is>
      </c>
      <c r="D2" s="94" t="n"/>
      <c r="E2" s="94" t="n"/>
      <c r="F2" s="94" t="n"/>
    </row>
    <row r="3">
      <c r="B3" s="138" t="inlineStr">
        <is>
          <t>revlabs  |  Period: Jan-2026  |  Prepared by: Ryan Walsh  |  05/12/2026</t>
        </is>
      </c>
      <c r="D3" s="94" t="n"/>
      <c r="E3" s="94" t="n"/>
      <c r="F3" s="94" t="n"/>
    </row>
    <row r="5" ht="22.05" customHeight="1" s="192">
      <c r="B5" s="1" t="inlineStr">
        <is>
          <t>Date</t>
        </is>
      </c>
      <c r="C5" s="1" t="inlineStr">
        <is>
          <t>Description</t>
        </is>
      </c>
      <c r="D5" s="81" t="inlineStr">
        <is>
          <t>Revlabs</t>
        </is>
      </c>
      <c r="E5" s="110" t="inlineStr">
        <is>
          <t>Revlabspm</t>
        </is>
      </c>
      <c r="F5" s="110" t="inlineStr">
        <is>
          <t>Total</t>
        </is>
      </c>
    </row>
    <row r="6">
      <c r="F6" s="120">
        <f>SUM(D6:E6)</f>
        <v/>
      </c>
    </row>
    <row r="7" ht="15" customHeight="1" s="192" thickBot="1">
      <c r="F7" s="121">
        <f>SUM(D7:E7)</f>
        <v/>
      </c>
    </row>
    <row r="8">
      <c r="B8" s="89" t="inlineStr">
        <is>
          <t>Ending Balance per GL</t>
        </is>
      </c>
      <c r="C8" s="254" t="n"/>
      <c r="D8" s="91">
        <f>SUM(B6:B7)</f>
        <v/>
      </c>
      <c r="E8" s="91">
        <f>SUM(C6:C7)</f>
        <v/>
      </c>
      <c r="F8" s="114">
        <f>SUM(D6:D7)</f>
        <v/>
      </c>
    </row>
    <row r="9">
      <c r="B9" s="255" t="inlineStr">
        <is>
          <t>Ending Balance per TB</t>
        </is>
      </c>
      <c r="C9" s="61" t="n"/>
      <c r="D9" s="88" t="n"/>
      <c r="E9" s="88" t="n"/>
      <c r="F9" s="88">
        <f>VLOOKUP(B1,'Trial Balance'!$A:$F,6,0)</f>
        <v/>
      </c>
    </row>
    <row r="10">
      <c r="B10" s="86" t="inlineStr">
        <is>
          <t>Variance</t>
        </is>
      </c>
      <c r="C10" s="256" t="n"/>
      <c r="D10" s="119" t="n"/>
      <c r="E10" s="85" t="n"/>
      <c r="F10" s="97">
        <f>F8-F9</f>
        <v/>
      </c>
    </row>
  </sheetData>
  <mergeCells count="6">
    <mergeCell ref="B2:C2"/>
    <mergeCell ref="B3:C3"/>
    <mergeCell ref="B10:C10"/>
    <mergeCell ref="B9:C9"/>
    <mergeCell ref="B1:C1"/>
    <mergeCell ref="B8:C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0070C0"/>
    <outlinePr summaryBelow="1" summaryRight="1"/>
    <pageSetUpPr/>
  </sheetPr>
  <dimension ref="B1:F10"/>
  <sheetViews>
    <sheetView workbookViewId="0">
      <selection activeCell="B3" sqref="B3:C3"/>
    </sheetView>
  </sheetViews>
  <sheetFormatPr baseColWidth="8" defaultRowHeight="14.4"/>
  <cols>
    <col width="2" customWidth="1" style="192" min="1" max="1"/>
    <col width="15" customWidth="1" style="192" min="2" max="2"/>
    <col width="30.21875" customWidth="1" style="192" min="3" max="3"/>
    <col width="18" customWidth="1" style="192" min="4" max="4"/>
    <col width="10.44140625" bestFit="1" customWidth="1" style="192" min="5" max="5"/>
    <col width="14" bestFit="1" customWidth="1" style="192" min="6" max="6"/>
  </cols>
  <sheetData>
    <row r="1" ht="18" customHeight="1" s="192">
      <c r="B1" s="98" t="inlineStr">
        <is>
          <t>152100</t>
        </is>
      </c>
      <c r="D1" s="94" t="n"/>
      <c r="E1" s="94" t="n"/>
      <c r="F1" s="94" t="n"/>
    </row>
    <row r="2" ht="18" customHeight="1" s="192">
      <c r="B2" s="98" t="inlineStr">
        <is>
          <t>Land</t>
        </is>
      </c>
      <c r="D2" s="94" t="n"/>
      <c r="E2" s="94" t="n"/>
      <c r="F2" s="94" t="n"/>
    </row>
    <row r="3">
      <c r="B3" s="138" t="inlineStr">
        <is>
          <t>revlabs  |  Period: Jan-2026  |  Prepared: 05/12/2026</t>
        </is>
      </c>
      <c r="D3" s="94" t="n"/>
      <c r="E3" s="94" t="n"/>
      <c r="F3" s="94" t="n"/>
    </row>
    <row r="5" ht="18" customHeight="1" s="192">
      <c r="B5" s="1" t="inlineStr">
        <is>
          <t>Date</t>
        </is>
      </c>
      <c r="C5" s="1" t="inlineStr">
        <is>
          <t>Description</t>
        </is>
      </c>
      <c r="D5" s="81" t="inlineStr">
        <is>
          <t>Revlabs</t>
        </is>
      </c>
      <c r="E5" s="110" t="inlineStr">
        <is>
          <t>Revlabspm</t>
        </is>
      </c>
      <c r="F5" s="110" t="inlineStr">
        <is>
          <t>Total</t>
        </is>
      </c>
    </row>
    <row r="6">
      <c r="B6" s="6" t="inlineStr">
        <is>
          <t>12/31/2022</t>
        </is>
      </c>
      <c r="C6" s="6" t="inlineStr">
        <is>
          <t>Move CIP Cost to FA - 12/14/2022</t>
        </is>
      </c>
      <c r="D6" s="262" t="n">
        <v>29000000</v>
      </c>
      <c r="E6" s="263" t="n"/>
      <c r="F6" s="262">
        <f>SUM(D6:E6)</f>
        <v/>
      </c>
    </row>
    <row r="7" ht="15" customHeight="1" s="192" thickBot="1">
      <c r="F7" s="121" t="n"/>
    </row>
    <row r="8">
      <c r="B8" s="89" t="inlineStr">
        <is>
          <t>Ending Balance per GL</t>
        </is>
      </c>
      <c r="C8" s="254" t="n"/>
      <c r="D8" s="91">
        <f>SUM(B5:B15)</f>
        <v/>
      </c>
      <c r="E8" s="91">
        <f>SUM(C5:C6)</f>
        <v/>
      </c>
      <c r="F8" s="114">
        <f>SUM(F6:F7)</f>
        <v/>
      </c>
    </row>
    <row r="9">
      <c r="B9" s="255" t="inlineStr">
        <is>
          <t>Ending Balance per TB</t>
        </is>
      </c>
      <c r="C9" s="61" t="n"/>
      <c r="D9" s="88" t="n"/>
      <c r="E9" s="88" t="n"/>
      <c r="F9" s="88">
        <f>VLOOKUP(B1,'Trial Balance'!$A:$F,6,0)</f>
        <v/>
      </c>
    </row>
    <row r="10">
      <c r="B10" s="86" t="inlineStr">
        <is>
          <t>Variance</t>
        </is>
      </c>
      <c r="C10" s="256" t="n"/>
      <c r="D10" s="119" t="n"/>
      <c r="E10" s="85" t="n"/>
      <c r="F10" s="97">
        <f>F8-F9</f>
        <v/>
      </c>
    </row>
  </sheetData>
  <mergeCells count="6">
    <mergeCell ref="B2:C2"/>
    <mergeCell ref="B3:C3"/>
    <mergeCell ref="B10:C10"/>
    <mergeCell ref="B9:C9"/>
    <mergeCell ref="B1:C1"/>
    <mergeCell ref="B8:C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0070C0"/>
    <outlinePr summaryBelow="1" summaryRight="1"/>
    <pageSetUpPr/>
  </sheetPr>
  <dimension ref="B1:F12"/>
  <sheetViews>
    <sheetView workbookViewId="0">
      <selection activeCell="F10" sqref="F10:F12"/>
    </sheetView>
  </sheetViews>
  <sheetFormatPr baseColWidth="8" defaultRowHeight="14.4"/>
  <cols>
    <col width="2" customWidth="1" style="192" min="1" max="1"/>
    <col width="50" customWidth="1" style="192" min="2" max="2"/>
    <col width="28.21875" bestFit="1" customWidth="1" style="192" min="3" max="3"/>
    <col width="18" customWidth="1" style="192" min="4" max="4"/>
    <col width="14.109375" bestFit="1" customWidth="1" style="192" min="5" max="5"/>
    <col width="14.44140625" bestFit="1" customWidth="1" style="192" min="6" max="6"/>
  </cols>
  <sheetData>
    <row r="1" ht="18" customHeight="1" s="192">
      <c r="B1" s="98" t="inlineStr">
        <is>
          <t>154100</t>
        </is>
      </c>
      <c r="D1" s="94" t="n"/>
      <c r="E1" s="94" t="n"/>
      <c r="F1" s="94" t="n"/>
    </row>
    <row r="2" ht="18" customHeight="1" s="192">
      <c r="B2" s="98" t="inlineStr">
        <is>
          <t>Building</t>
        </is>
      </c>
      <c r="D2" s="94" t="n"/>
      <c r="E2" s="94" t="n"/>
      <c r="F2" s="94" t="n"/>
    </row>
    <row r="3">
      <c r="B3" s="138" t="inlineStr">
        <is>
          <t>revlabs  |  Period: Jan-2026  |  Prepared: 05/12/2026</t>
        </is>
      </c>
      <c r="D3" s="94" t="n"/>
      <c r="E3" s="94" t="n"/>
      <c r="F3" s="94" t="n"/>
    </row>
    <row r="5" ht="18" customHeight="1" s="192">
      <c r="B5" s="1" t="inlineStr">
        <is>
          <t>Date</t>
        </is>
      </c>
      <c r="C5" s="1" t="inlineStr">
        <is>
          <t>Description</t>
        </is>
      </c>
      <c r="D5" s="81" t="inlineStr">
        <is>
          <t>Revlabs</t>
        </is>
      </c>
      <c r="E5" s="110" t="inlineStr">
        <is>
          <t>Revlabspm</t>
        </is>
      </c>
      <c r="F5" s="110" t="inlineStr">
        <is>
          <t>Total</t>
        </is>
      </c>
    </row>
    <row r="6">
      <c r="B6" s="6" t="inlineStr">
        <is>
          <t>01/01/2025</t>
        </is>
      </c>
      <c r="C6" s="6" t="inlineStr">
        <is>
          <t>Beginning Balance (Revlabpm)</t>
        </is>
      </c>
      <c r="D6" s="264" t="n"/>
      <c r="E6" s="263" t="n">
        <v>78897071.98999999</v>
      </c>
      <c r="F6" s="264">
        <f>SUM(D6:E6)</f>
        <v/>
      </c>
    </row>
    <row r="7">
      <c r="B7" s="127" t="inlineStr">
        <is>
          <t>03/31/2025</t>
        </is>
      </c>
      <c r="C7" s="127" t="inlineStr">
        <is>
          <t>Building Allocation (Revlabpm)</t>
        </is>
      </c>
      <c r="D7" s="265" t="n"/>
      <c r="E7" s="266" t="n">
        <v>520.9299999999999</v>
      </c>
      <c r="F7" s="265">
        <f>SUM(D7:E7)</f>
        <v/>
      </c>
    </row>
    <row r="8">
      <c r="B8" s="6" t="inlineStr">
        <is>
          <t>06/26/2025</t>
        </is>
      </c>
      <c r="C8" s="6" t="inlineStr">
        <is>
          <t>Orum Q2 TI Capital (Revlabs)</t>
        </is>
      </c>
      <c r="D8" s="264" t="n">
        <v>-10220.91</v>
      </c>
      <c r="E8" s="263" t="n"/>
      <c r="F8" s="264">
        <f>SUM(D8:E8)</f>
        <v/>
      </c>
    </row>
    <row r="9" ht="15" customHeight="1" s="192" thickBot="1">
      <c r="D9" s="113" t="n"/>
      <c r="F9" s="120" t="n"/>
    </row>
    <row r="10">
      <c r="B10" s="89" t="inlineStr">
        <is>
          <t>Ending Balance per GL</t>
        </is>
      </c>
      <c r="C10" s="254" t="n"/>
      <c r="D10" s="91" t="n"/>
      <c r="E10" s="91" t="n"/>
      <c r="F10" s="114">
        <f>SUM(F6:F8)</f>
        <v/>
      </c>
    </row>
    <row r="11">
      <c r="B11" s="255" t="inlineStr">
        <is>
          <t>Ending Balance per TB</t>
        </is>
      </c>
      <c r="C11" s="61" t="n"/>
      <c r="D11" s="88" t="n"/>
      <c r="E11" s="88" t="n"/>
      <c r="F11" s="88">
        <f>VLOOKUP(B1,'Trial Balance'!$A:$F,6,0)</f>
        <v/>
      </c>
    </row>
    <row r="12">
      <c r="B12" s="86" t="inlineStr">
        <is>
          <t>Variance</t>
        </is>
      </c>
      <c r="C12" s="256" t="n"/>
      <c r="D12" s="97" t="n"/>
      <c r="E12" s="97" t="n"/>
      <c r="F12" s="97">
        <f>F10-F11</f>
        <v/>
      </c>
    </row>
  </sheetData>
  <mergeCells count="6">
    <mergeCell ref="B2:C2"/>
    <mergeCell ref="B11:C11"/>
    <mergeCell ref="B3:C3"/>
    <mergeCell ref="B10:C10"/>
    <mergeCell ref="B1:C1"/>
    <mergeCell ref="B12:C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0070C0"/>
    <outlinePr summaryBelow="1" summaryRight="1"/>
    <pageSetUpPr/>
  </sheetPr>
  <dimension ref="B1:F13"/>
  <sheetViews>
    <sheetView workbookViewId="0">
      <selection activeCell="B11" sqref="B11:C13"/>
    </sheetView>
  </sheetViews>
  <sheetFormatPr baseColWidth="8" defaultRowHeight="14.4"/>
  <cols>
    <col width="2" customWidth="1" style="192" min="1" max="1"/>
    <col width="50" customWidth="1" style="192" min="2" max="2"/>
    <col width="49.6640625" bestFit="1" customWidth="1" style="192" min="3" max="3"/>
    <col width="18" customWidth="1" style="192" min="4" max="5"/>
    <col width="14.44140625" bestFit="1" customWidth="1" style="192" min="6" max="6"/>
  </cols>
  <sheetData>
    <row r="1" ht="18" customHeight="1" s="192">
      <c r="B1" s="98" t="inlineStr">
        <is>
          <t>154500</t>
        </is>
      </c>
      <c r="D1" s="94" t="n"/>
      <c r="E1" s="94" t="n"/>
      <c r="F1" s="94" t="n"/>
    </row>
    <row r="2" ht="18" customHeight="1" s="192">
      <c r="B2" s="98" t="inlineStr">
        <is>
          <t>Building Improvements</t>
        </is>
      </c>
      <c r="D2" s="94" t="n"/>
      <c r="E2" s="94" t="n"/>
      <c r="F2" s="94" t="n"/>
    </row>
    <row r="3">
      <c r="B3" s="138" t="inlineStr">
        <is>
          <t>revlabs  |  Period: Jan-2026  |  Prepared: 05/12/2026</t>
        </is>
      </c>
      <c r="D3" s="94" t="n"/>
      <c r="E3" s="94" t="n"/>
      <c r="F3" s="94" t="n"/>
    </row>
    <row r="5" ht="18" customHeight="1" s="192">
      <c r="B5" s="81" t="inlineStr">
        <is>
          <t>Date</t>
        </is>
      </c>
      <c r="C5" s="1" t="inlineStr">
        <is>
          <t>Description</t>
        </is>
      </c>
      <c r="D5" s="81" t="inlineStr">
        <is>
          <t>Revlabspm</t>
        </is>
      </c>
      <c r="E5" s="137" t="inlineStr">
        <is>
          <t>Revlabs</t>
        </is>
      </c>
      <c r="F5" s="110" t="inlineStr">
        <is>
          <t>Total</t>
        </is>
      </c>
    </row>
    <row r="6">
      <c r="B6" s="122" t="inlineStr">
        <is>
          <t>06/2024</t>
        </is>
      </c>
      <c r="C6" s="122" t="inlineStr">
        <is>
          <t>Penthouse Floor Epoxy-Black Bear Coatings &amp; Concrete</t>
        </is>
      </c>
      <c r="D6" s="4" t="n">
        <v>49570</v>
      </c>
      <c r="E6" s="4" t="n"/>
      <c r="F6" s="4">
        <f>SUM(D6:E6)</f>
        <v/>
      </c>
    </row>
    <row r="7">
      <c r="B7" s="123" t="inlineStr">
        <is>
          <t>06/2024</t>
        </is>
      </c>
      <c r="C7" s="123" t="inlineStr">
        <is>
          <t>Electric Whip for Epoxy - S&amp;W Electrical Contractors Inc.</t>
        </is>
      </c>
      <c r="D7" s="7" t="n">
        <v>705</v>
      </c>
      <c r="E7" s="7" t="n"/>
      <c r="F7" s="7">
        <f>SUM(D7:E7)</f>
        <v/>
      </c>
    </row>
    <row r="8">
      <c r="B8" s="122" t="inlineStr">
        <is>
          <t>02/2025</t>
        </is>
      </c>
      <c r="C8" s="122" t="inlineStr">
        <is>
          <t>Garage Sports Equipment</t>
        </is>
      </c>
      <c r="D8" s="4" t="n">
        <v>12828.1</v>
      </c>
      <c r="E8" s="4" t="n"/>
      <c r="F8" s="4">
        <f>SUM(D8:E8)</f>
        <v/>
      </c>
    </row>
    <row r="9">
      <c r="B9" s="123" t="inlineStr">
        <is>
          <t>02/2025</t>
        </is>
      </c>
      <c r="C9" s="123" t="inlineStr">
        <is>
          <t>2nd Floor HVAC Corrections</t>
        </is>
      </c>
      <c r="D9" s="7" t="n">
        <v>33400</v>
      </c>
      <c r="E9" s="7" t="n"/>
      <c r="F9" s="4">
        <f>SUM(D9:E9)</f>
        <v/>
      </c>
    </row>
    <row r="10" ht="15" customHeight="1" s="192" thickBot="1">
      <c r="B10" s="135" t="n"/>
      <c r="C10" s="135" t="n"/>
      <c r="D10" s="136" t="n"/>
      <c r="E10" s="136" t="n"/>
    </row>
    <row r="11">
      <c r="B11" s="89" t="inlineStr">
        <is>
          <t>Ending Balance per GL</t>
        </is>
      </c>
      <c r="C11" s="254" t="n"/>
      <c r="D11" s="91" t="n"/>
      <c r="E11" s="91" t="n"/>
      <c r="F11" s="114">
        <f>SUM(F6:F9)</f>
        <v/>
      </c>
    </row>
    <row r="12">
      <c r="B12" s="255" t="inlineStr">
        <is>
          <t>Ending Balance per TB</t>
        </is>
      </c>
      <c r="C12" s="61" t="n"/>
      <c r="D12" s="88" t="n"/>
      <c r="E12" s="88" t="n"/>
      <c r="F12" s="88">
        <f>VLOOKUP(B1,'Trial Balance'!$A:$F,6,0)</f>
        <v/>
      </c>
    </row>
    <row r="13">
      <c r="B13" s="86" t="inlineStr">
        <is>
          <t>Variance</t>
        </is>
      </c>
      <c r="C13" s="256" t="n"/>
      <c r="D13" s="97" t="n"/>
      <c r="E13" s="97" t="n"/>
      <c r="F13" s="97" t="n"/>
    </row>
  </sheetData>
  <mergeCells count="6">
    <mergeCell ref="B13:C13"/>
    <mergeCell ref="B2:C2"/>
    <mergeCell ref="B11:C11"/>
    <mergeCell ref="B3:C3"/>
    <mergeCell ref="B1:C1"/>
    <mergeCell ref="B12:C1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0070C0"/>
    <outlinePr summaryBelow="1" summaryRight="1"/>
    <pageSetUpPr/>
  </sheetPr>
  <dimension ref="B1:F15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44" customWidth="1" style="192" min="2" max="2"/>
    <col width="12" customWidth="1" style="192" min="3" max="3"/>
    <col width="30" customWidth="1" style="192" min="4" max="4"/>
    <col width="18" customWidth="1" style="192" min="5" max="5"/>
    <col width="12.6640625" bestFit="1" customWidth="1" style="192" min="6" max="6"/>
  </cols>
  <sheetData>
    <row r="1" ht="18" customHeight="1" s="192">
      <c r="B1" s="98" t="inlineStr">
        <is>
          <t>181200</t>
        </is>
      </c>
      <c r="D1" s="94" t="n"/>
      <c r="E1" s="94" t="n"/>
      <c r="F1" s="94" t="n"/>
    </row>
    <row r="2" ht="18" customHeight="1" s="192">
      <c r="B2" s="98" t="inlineStr">
        <is>
          <t>Leasing Commissions</t>
        </is>
      </c>
      <c r="D2" s="94" t="n"/>
      <c r="E2" s="94" t="n"/>
      <c r="F2" s="94" t="n"/>
    </row>
    <row r="3">
      <c r="B3" s="138" t="inlineStr">
        <is>
          <t>revlabs  |  Period: Jan-2026  |  Prepared: 05/12/2026</t>
        </is>
      </c>
      <c r="D3" s="94" t="n"/>
      <c r="E3" s="94" t="n"/>
      <c r="F3" s="94" t="n"/>
    </row>
    <row r="5" ht="18" customHeight="1" s="192">
      <c r="B5" s="81" t="inlineStr">
        <is>
          <t>Commencement Date</t>
        </is>
      </c>
      <c r="C5" s="1" t="inlineStr">
        <is>
          <t>Description</t>
        </is>
      </c>
      <c r="D5" s="81" t="inlineStr">
        <is>
          <t>Revlabspm</t>
        </is>
      </c>
      <c r="E5" s="137" t="inlineStr">
        <is>
          <t>Revlabs</t>
        </is>
      </c>
      <c r="F5" s="110" t="inlineStr">
        <is>
          <t>Total</t>
        </is>
      </c>
    </row>
    <row r="6">
      <c r="B6" s="122" t="inlineStr">
        <is>
          <t>1/4/2023 - 11/30/2031</t>
        </is>
      </c>
      <c r="C6" s="127" t="inlineStr">
        <is>
          <t>Keros</t>
        </is>
      </c>
      <c r="D6" s="122" t="n"/>
      <c r="E6" s="4" t="n">
        <v>599121.6</v>
      </c>
      <c r="F6" s="4">
        <f>SUM(D6:E6)</f>
        <v/>
      </c>
    </row>
    <row r="7">
      <c r="B7" s="123" t="inlineStr">
        <is>
          <t>4/13/2023 - 6/12/2033</t>
        </is>
      </c>
      <c r="C7" s="6" t="inlineStr">
        <is>
          <t>Triana</t>
        </is>
      </c>
      <c r="D7" s="123" t="n"/>
      <c r="E7" s="7" t="n">
        <v>638190</v>
      </c>
      <c r="F7" s="7">
        <f>SUM(D7:E7)</f>
        <v/>
      </c>
    </row>
    <row r="8">
      <c r="B8" s="122" t="inlineStr">
        <is>
          <t>4/13/2023 - 6/12/2033</t>
        </is>
      </c>
      <c r="C8" s="127" t="inlineStr">
        <is>
          <t>Accent</t>
        </is>
      </c>
      <c r="D8" s="122" t="n"/>
      <c r="E8" s="4" t="n">
        <v>1365063</v>
      </c>
      <c r="F8" s="4">
        <f>SUM(D8:E8)</f>
        <v/>
      </c>
    </row>
    <row r="9">
      <c r="B9" s="123" t="inlineStr">
        <is>
          <t>7/17/2023 - 8/31/2033</t>
        </is>
      </c>
      <c r="C9" s="6" t="inlineStr">
        <is>
          <t>Orum</t>
        </is>
      </c>
      <c r="D9" s="123" t="n"/>
      <c r="E9" s="7" t="n">
        <v>448665</v>
      </c>
      <c r="F9" s="7">
        <f>SUM(D9:E9)</f>
        <v/>
      </c>
    </row>
    <row r="10">
      <c r="B10" s="122" t="inlineStr">
        <is>
          <t>Moved-Out</t>
        </is>
      </c>
      <c r="C10" s="127" t="inlineStr">
        <is>
          <t>Alchemab</t>
        </is>
      </c>
      <c r="D10" s="122" t="n"/>
      <c r="E10" s="4" t="n">
        <v>568260</v>
      </c>
      <c r="F10" s="4">
        <f>SUM(D10:E10)</f>
        <v/>
      </c>
    </row>
    <row r="11">
      <c r="B11" s="6" t="inlineStr">
        <is>
          <t>Rounding</t>
        </is>
      </c>
      <c r="C11" s="123" t="n"/>
      <c r="D11" s="123" t="n"/>
      <c r="E11" s="7" t="n">
        <v>0.4</v>
      </c>
      <c r="F11" s="7">
        <f>SUM(D11:E11)</f>
        <v/>
      </c>
    </row>
    <row r="12" ht="15" customHeight="1" s="192" thickBot="1">
      <c r="B12" s="9" t="n"/>
      <c r="C12" s="9" t="n"/>
      <c r="D12" s="9" t="n"/>
      <c r="E12" s="9" t="n"/>
    </row>
    <row r="13">
      <c r="B13" s="89" t="inlineStr">
        <is>
          <t>Ending Balance per GL</t>
        </is>
      </c>
      <c r="C13" s="254" t="n"/>
      <c r="D13" s="91" t="n"/>
      <c r="E13" s="91" t="n"/>
      <c r="F13" s="114">
        <f>SUM(F6:F11)</f>
        <v/>
      </c>
    </row>
    <row r="14">
      <c r="B14" s="255" t="inlineStr">
        <is>
          <t>Ending Balance per TB</t>
        </is>
      </c>
      <c r="C14" s="61" t="n"/>
      <c r="D14" s="88" t="n"/>
      <c r="E14" s="88" t="n"/>
      <c r="F14" s="88">
        <f>VLOOKUP(B1,'Trial Balance'!$A:$F,6,0)</f>
        <v/>
      </c>
    </row>
    <row r="15">
      <c r="B15" s="86" t="inlineStr">
        <is>
          <t>Variance</t>
        </is>
      </c>
      <c r="C15" s="256" t="n"/>
      <c r="D15" s="97" t="n"/>
      <c r="E15" s="97" t="n"/>
      <c r="F15" s="97">
        <f>F13-F14</f>
        <v/>
      </c>
    </row>
  </sheetData>
  <mergeCells count="6">
    <mergeCell ref="B13:C13"/>
    <mergeCell ref="B2:C2"/>
    <mergeCell ref="B15:C15"/>
    <mergeCell ref="B3:C3"/>
    <mergeCell ref="B14:C14"/>
    <mergeCell ref="B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0070C0"/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44" customWidth="1" style="192" min="2" max="2"/>
    <col width="12" customWidth="1" style="192" min="3" max="3"/>
    <col width="30" customWidth="1" style="192" min="4" max="4"/>
    <col width="18" customWidth="1" style="192" min="5" max="5"/>
    <col width="12.6640625" bestFit="1" customWidth="1" style="192" min="6" max="6"/>
  </cols>
  <sheetData>
    <row r="1" ht="18" customHeight="1" s="192">
      <c r="B1" s="98" t="inlineStr">
        <is>
          <t>181300</t>
        </is>
      </c>
      <c r="D1" s="94" t="n"/>
      <c r="E1" s="94" t="n"/>
      <c r="F1" s="94" t="n"/>
    </row>
    <row r="2" ht="18" customHeight="1" s="192">
      <c r="B2" s="98" t="inlineStr">
        <is>
          <t>Legal Leasing Costs</t>
        </is>
      </c>
      <c r="D2" s="94" t="n"/>
      <c r="E2" s="94" t="n"/>
      <c r="F2" s="94" t="n"/>
    </row>
    <row r="3">
      <c r="B3" s="138" t="inlineStr">
        <is>
          <t>revlabs  |  Period: Jan-2026  |  Prepared: 05/12/2026</t>
        </is>
      </c>
      <c r="D3" s="94" t="n"/>
      <c r="E3" s="94" t="n"/>
      <c r="F3" s="94" t="n"/>
    </row>
    <row r="5" ht="18" customHeight="1" s="192">
      <c r="B5" s="81" t="inlineStr">
        <is>
          <t>Commencement Date</t>
        </is>
      </c>
      <c r="C5" s="1" t="inlineStr">
        <is>
          <t>Description</t>
        </is>
      </c>
      <c r="D5" s="81" t="inlineStr">
        <is>
          <t>Revlabspm</t>
        </is>
      </c>
      <c r="E5" s="137" t="inlineStr">
        <is>
          <t>Revlabs</t>
        </is>
      </c>
      <c r="F5" s="110" t="inlineStr">
        <is>
          <t>Total</t>
        </is>
      </c>
    </row>
    <row r="6">
      <c r="B6" s="122" t="inlineStr">
        <is>
          <t>1/4/2023 - 11/30/2031</t>
        </is>
      </c>
      <c r="C6" s="127" t="inlineStr">
        <is>
          <t>Keros</t>
        </is>
      </c>
      <c r="D6" s="122" t="n"/>
      <c r="E6" s="4" t="n">
        <v>48084.48</v>
      </c>
      <c r="F6" s="4">
        <f>SUM(D6:E6)</f>
        <v/>
      </c>
    </row>
    <row r="7">
      <c r="B7" s="123" t="inlineStr">
        <is>
          <t>4/13/2023 - 6/12/2033</t>
        </is>
      </c>
      <c r="C7" s="6" t="inlineStr">
        <is>
          <t>Triana</t>
        </is>
      </c>
      <c r="D7" s="123" t="n"/>
      <c r="E7" s="7" t="n">
        <v>40976.04</v>
      </c>
      <c r="F7" s="7">
        <f>SUM(D7:E7)</f>
        <v/>
      </c>
    </row>
    <row r="8">
      <c r="B8" s="122" t="inlineStr">
        <is>
          <t>4/13/2023 - 6/12/2033</t>
        </is>
      </c>
      <c r="C8" s="127" t="inlineStr">
        <is>
          <t>Accent</t>
        </is>
      </c>
      <c r="D8" s="122" t="n"/>
      <c r="E8" s="4" t="n">
        <v>92969.11</v>
      </c>
      <c r="F8" s="4">
        <f>SUM(D8:E8)</f>
        <v/>
      </c>
    </row>
    <row r="9">
      <c r="B9" s="123" t="inlineStr">
        <is>
          <t>7/17/2023 - 8/31/2033</t>
        </is>
      </c>
      <c r="C9" s="6" t="inlineStr">
        <is>
          <t>Orum</t>
        </is>
      </c>
      <c r="D9" s="123" t="n"/>
      <c r="E9" s="7" t="n">
        <v>28807.27</v>
      </c>
      <c r="F9" s="7">
        <f>SUM(D9:E9)</f>
        <v/>
      </c>
    </row>
    <row r="10">
      <c r="B10" s="122" t="inlineStr">
        <is>
          <t>Moved-Out</t>
        </is>
      </c>
      <c r="C10" s="127" t="inlineStr">
        <is>
          <t>Alchemab</t>
        </is>
      </c>
      <c r="D10" s="122" t="n"/>
      <c r="E10" s="4" t="n">
        <v>36486.06</v>
      </c>
      <c r="F10" s="4">
        <f>SUM(D10:E10)</f>
        <v/>
      </c>
    </row>
    <row r="11" ht="15" customHeight="1" s="192" thickBot="1">
      <c r="B11" s="9" t="n"/>
      <c r="C11" s="9" t="n"/>
      <c r="D11" s="9" t="n"/>
      <c r="E11" s="9" t="n"/>
    </row>
    <row r="12">
      <c r="B12" s="89" t="inlineStr">
        <is>
          <t>Ending Balance per GL</t>
        </is>
      </c>
      <c r="C12" s="254" t="n"/>
      <c r="D12" s="91" t="n"/>
      <c r="E12" s="91" t="n"/>
      <c r="F12" s="114">
        <f>SUM(F6:F10)</f>
        <v/>
      </c>
    </row>
    <row r="13">
      <c r="B13" s="255" t="inlineStr">
        <is>
          <t>Ending Balance per TB</t>
        </is>
      </c>
      <c r="C13" s="61" t="n"/>
      <c r="D13" s="88" t="n"/>
      <c r="E13" s="88" t="n"/>
      <c r="F13" s="88">
        <f>VLOOKUP(B1,'Trial Balance'!$A:$F,6,0)</f>
        <v/>
      </c>
    </row>
    <row r="14">
      <c r="B14" s="86" t="inlineStr">
        <is>
          <t>Variance</t>
        </is>
      </c>
      <c r="C14" s="256" t="n"/>
      <c r="D14" s="97" t="n"/>
      <c r="E14" s="97" t="n"/>
      <c r="F14" s="97">
        <f>F12-F13</f>
        <v/>
      </c>
    </row>
  </sheetData>
  <mergeCells count="6">
    <mergeCell ref="B13:C13"/>
    <mergeCell ref="B2:C2"/>
    <mergeCell ref="B3:C3"/>
    <mergeCell ref="B14:C14"/>
    <mergeCell ref="B1:C1"/>
    <mergeCell ref="B12:C1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0070C0"/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44" customWidth="1" style="192" min="2" max="2"/>
    <col width="12" customWidth="1" style="192" min="3" max="3"/>
    <col width="30" customWidth="1" style="192" min="4" max="4"/>
    <col width="18" customWidth="1" style="192" min="5" max="5"/>
    <col width="13.77734375" bestFit="1" customWidth="1" style="192" min="6" max="6"/>
  </cols>
  <sheetData>
    <row r="1" ht="18" customHeight="1" s="192">
      <c r="B1" s="98" t="inlineStr">
        <is>
          <t>181400</t>
        </is>
      </c>
      <c r="D1" s="94" t="n"/>
      <c r="E1" s="94" t="n"/>
      <c r="F1" s="94" t="n"/>
    </row>
    <row r="2" ht="18" customHeight="1" s="192">
      <c r="B2" s="98" t="inlineStr">
        <is>
          <t>Tenant Improvement</t>
        </is>
      </c>
      <c r="D2" s="94" t="n"/>
      <c r="E2" s="94" t="n"/>
      <c r="F2" s="94" t="n"/>
    </row>
    <row r="3">
      <c r="B3" s="138" t="inlineStr">
        <is>
          <t>revlabs  |  Period: Jan-2026  |  Prepared: 05/12/2026</t>
        </is>
      </c>
      <c r="D3" s="94" t="n"/>
      <c r="E3" s="94" t="n"/>
      <c r="F3" s="94" t="n"/>
    </row>
    <row r="5" ht="18" customHeight="1" s="192">
      <c r="B5" s="81" t="inlineStr">
        <is>
          <t>Commencement Date</t>
        </is>
      </c>
      <c r="C5" s="1" t="inlineStr">
        <is>
          <t>Description</t>
        </is>
      </c>
      <c r="D5" s="81" t="inlineStr">
        <is>
          <t>Revlabspm</t>
        </is>
      </c>
      <c r="E5" s="137" t="inlineStr">
        <is>
          <t>Revlabs</t>
        </is>
      </c>
      <c r="F5" s="110" t="inlineStr">
        <is>
          <t>Total</t>
        </is>
      </c>
    </row>
    <row r="6">
      <c r="B6" s="122" t="inlineStr">
        <is>
          <t>1/4/2023 - 11/30/2031</t>
        </is>
      </c>
      <c r="C6" s="127" t="inlineStr">
        <is>
          <t>Keros</t>
        </is>
      </c>
      <c r="D6" s="122" t="n"/>
      <c r="E6" s="4" t="n">
        <v>6775780</v>
      </c>
      <c r="F6" s="4">
        <f>SUM(D6:E6)</f>
        <v/>
      </c>
    </row>
    <row r="7">
      <c r="B7" s="123" t="inlineStr">
        <is>
          <t>4/13/2023 - 6/12/2033</t>
        </is>
      </c>
      <c r="C7" s="6" t="inlineStr">
        <is>
          <t>Triana</t>
        </is>
      </c>
      <c r="D7" s="123" t="n"/>
      <c r="E7" s="7" t="n">
        <v>6078000</v>
      </c>
      <c r="F7" s="7">
        <f>SUM(D7:E7)</f>
        <v/>
      </c>
    </row>
    <row r="8">
      <c r="B8" s="122" t="inlineStr">
        <is>
          <t>4/13/2023 - 6/12/2033</t>
        </is>
      </c>
      <c r="C8" s="127" t="inlineStr">
        <is>
          <t>Accent</t>
        </is>
      </c>
      <c r="D8" s="122" t="n"/>
      <c r="E8" s="4" t="n">
        <v>12710804.67</v>
      </c>
      <c r="F8" s="4">
        <f>SUM(D8:E8)</f>
        <v/>
      </c>
    </row>
    <row r="9">
      <c r="B9" s="123" t="inlineStr">
        <is>
          <t>7/17/2023 - 8/31/2033</t>
        </is>
      </c>
      <c r="C9" s="6" t="inlineStr">
        <is>
          <t>Orum</t>
        </is>
      </c>
      <c r="D9" s="123" t="n"/>
      <c r="E9" s="7" t="n">
        <v>4273000</v>
      </c>
      <c r="F9" s="7">
        <f>SUM(D9:E9)</f>
        <v/>
      </c>
    </row>
    <row r="10">
      <c r="B10" s="122" t="inlineStr">
        <is>
          <t>Moved-Out</t>
        </is>
      </c>
      <c r="C10" s="127" t="inlineStr">
        <is>
          <t>Alchemab</t>
        </is>
      </c>
      <c r="D10" s="122" t="n"/>
      <c r="E10" s="4" t="n">
        <v>6375751.85</v>
      </c>
      <c r="F10" s="4">
        <f>SUM(D10:E10)</f>
        <v/>
      </c>
    </row>
    <row r="11" ht="15" customHeight="1" s="192" thickBot="1">
      <c r="B11" s="9" t="n"/>
      <c r="C11" s="9" t="n"/>
      <c r="D11" s="9" t="n"/>
      <c r="E11" s="9" t="n"/>
    </row>
    <row r="12">
      <c r="B12" s="89" t="inlineStr">
        <is>
          <t>Ending Balance per GL</t>
        </is>
      </c>
      <c r="C12" s="254" t="n"/>
      <c r="D12" s="91" t="n"/>
      <c r="E12" s="91" t="n"/>
      <c r="F12" s="114">
        <f>SUM(F6:F10)</f>
        <v/>
      </c>
    </row>
    <row r="13">
      <c r="B13" s="255" t="inlineStr">
        <is>
          <t>Ending Balance per TB</t>
        </is>
      </c>
      <c r="C13" s="61" t="n"/>
      <c r="D13" s="88" t="n"/>
      <c r="E13" s="88" t="n"/>
      <c r="F13" s="88">
        <f>VLOOKUP(B1,'Trial Balance'!$A:$F,6,0)</f>
        <v/>
      </c>
    </row>
    <row r="14">
      <c r="B14" s="86" t="inlineStr">
        <is>
          <t>Variance</t>
        </is>
      </c>
      <c r="C14" s="256" t="n"/>
      <c r="D14" s="97" t="n"/>
      <c r="E14" s="97" t="n"/>
      <c r="F14" s="97">
        <f>F12-F13</f>
        <v/>
      </c>
    </row>
  </sheetData>
  <mergeCells count="6">
    <mergeCell ref="B13:C13"/>
    <mergeCell ref="B2:C2"/>
    <mergeCell ref="B3:C3"/>
    <mergeCell ref="B14:C14"/>
    <mergeCell ref="B1:C1"/>
    <mergeCell ref="B12:C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0070C0"/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14" customWidth="1" style="192" min="2" max="2"/>
    <col width="44" customWidth="1" style="192" min="3" max="3"/>
    <col width="16" customWidth="1" style="192" min="4" max="6"/>
  </cols>
  <sheetData>
    <row r="1" ht="18" customHeight="1" s="192">
      <c r="B1" s="98" t="inlineStr">
        <is>
          <t>187100</t>
        </is>
      </c>
      <c r="D1" s="94" t="n"/>
      <c r="E1" s="94" t="n"/>
      <c r="F1" s="94" t="n"/>
    </row>
    <row r="2" ht="18" customHeight="1" s="192">
      <c r="B2" s="98" t="inlineStr">
        <is>
          <t>Finance Costs</t>
        </is>
      </c>
      <c r="D2" s="94" t="n"/>
      <c r="E2" s="94" t="n"/>
      <c r="F2" s="94" t="n"/>
    </row>
    <row r="3">
      <c r="B3" s="138" t="inlineStr">
        <is>
          <t>revlabs  |  Period: Jan-2026  |  Prepared: 05/12/2026</t>
        </is>
      </c>
      <c r="D3" s="94" t="n"/>
      <c r="E3" s="94" t="n"/>
      <c r="F3" s="94" t="n"/>
    </row>
    <row r="5" ht="18" customHeight="1" s="192">
      <c r="B5" s="1" t="inlineStr">
        <is>
          <t>Date</t>
        </is>
      </c>
      <c r="C5" s="1" t="inlineStr">
        <is>
          <t>Description</t>
        </is>
      </c>
      <c r="D5" s="1" t="inlineStr">
        <is>
          <t>Revlabs</t>
        </is>
      </c>
      <c r="E5" s="1" t="inlineStr">
        <is>
          <t>Revlabpm</t>
        </is>
      </c>
      <c r="F5" s="1" t="inlineStr">
        <is>
          <t>Total</t>
        </is>
      </c>
    </row>
    <row r="6">
      <c r="B6" s="148" t="inlineStr">
        <is>
          <t>01/01/2024</t>
        </is>
      </c>
      <c r="C6" s="127" t="inlineStr">
        <is>
          <t>Beginning Balance</t>
        </is>
      </c>
      <c r="D6" s="4" t="n">
        <v>0</v>
      </c>
      <c r="E6" s="4" t="n">
        <v>0</v>
      </c>
      <c r="F6" s="4" t="n">
        <v>0</v>
      </c>
    </row>
    <row r="7">
      <c r="B7" s="149" t="inlineStr">
        <is>
          <t>10/31/2024</t>
        </is>
      </c>
      <c r="C7" s="6" t="inlineStr">
        <is>
          <t>Rev Labs Extension Fee</t>
        </is>
      </c>
      <c r="D7" s="7" t="n">
        <v>230260.49</v>
      </c>
      <c r="E7" s="7" t="n">
        <v>0</v>
      </c>
      <c r="F7" s="7" t="n">
        <v>230260.49</v>
      </c>
    </row>
    <row r="8">
      <c r="B8" s="148" t="inlineStr">
        <is>
          <t>06/25/2025</t>
        </is>
      </c>
      <c r="C8" s="127" t="inlineStr">
        <is>
          <t>Frost Brown Todd LLP Invoice</t>
        </is>
      </c>
      <c r="D8" s="4" t="n">
        <v>3000</v>
      </c>
      <c r="E8" s="4" t="n">
        <v>0</v>
      </c>
      <c r="F8" s="4" t="n">
        <v>3000</v>
      </c>
    </row>
    <row r="9">
      <c r="B9" s="149" t="inlineStr">
        <is>
          <t>06/25/2025</t>
        </is>
      </c>
      <c r="C9" s="6" t="inlineStr">
        <is>
          <t>Berkadia Commercial Mortgage</t>
        </is>
      </c>
      <c r="D9" s="7" t="n">
        <v>230260.49</v>
      </c>
      <c r="E9" s="7" t="n">
        <v>0</v>
      </c>
      <c r="F9" s="7" t="n">
        <v>230260.49</v>
      </c>
    </row>
    <row r="10">
      <c r="B10" s="148" t="inlineStr">
        <is>
          <t>06/25/2025</t>
        </is>
      </c>
      <c r="C10" s="127" t="inlineStr">
        <is>
          <t>ACORE Capital, LP Invoice</t>
        </is>
      </c>
      <c r="D10" s="4" t="n">
        <v>1500</v>
      </c>
      <c r="E10" s="4" t="n">
        <v>0</v>
      </c>
      <c r="F10" s="4" t="n">
        <v>1500</v>
      </c>
    </row>
    <row r="11" ht="15" customHeight="1" s="192" thickBot="1">
      <c r="B11" s="135" t="n"/>
      <c r="C11" s="133" t="n"/>
      <c r="D11" s="134" t="n"/>
      <c r="E11" s="134" t="n"/>
      <c r="F11" s="136" t="n"/>
    </row>
    <row r="12">
      <c r="B12" s="89" t="inlineStr">
        <is>
          <t>Ending Balance per GL</t>
        </is>
      </c>
      <c r="C12" s="254" t="n"/>
      <c r="D12" s="91" t="n"/>
      <c r="E12" s="91" t="n"/>
      <c r="F12" s="114">
        <f>SUM(F6:F10)</f>
        <v/>
      </c>
    </row>
    <row r="13">
      <c r="B13" s="255" t="inlineStr">
        <is>
          <t>Ending Balance per TB</t>
        </is>
      </c>
      <c r="C13" s="61" t="n"/>
      <c r="D13" s="88" t="n"/>
      <c r="E13" s="88" t="n"/>
      <c r="F13" s="88">
        <f>VLOOKUP(B1,'Trial Balance'!$A:$F,6,0)</f>
        <v/>
      </c>
    </row>
    <row r="14">
      <c r="B14" s="86" t="inlineStr">
        <is>
          <t>Variance</t>
        </is>
      </c>
      <c r="C14" s="256" t="n"/>
      <c r="D14" s="97" t="n"/>
      <c r="E14" s="97" t="n"/>
      <c r="F14" s="97" t="n">
        <v>0</v>
      </c>
    </row>
  </sheetData>
  <mergeCells count="6">
    <mergeCell ref="B13:C13"/>
    <mergeCell ref="B2:C2"/>
    <mergeCell ref="B3:C3"/>
    <mergeCell ref="B14:C14"/>
    <mergeCell ref="B1:C1"/>
    <mergeCell ref="B12:C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0070C0"/>
    <outlinePr summaryBelow="1" summaryRight="1"/>
    <pageSetUpPr/>
  </sheetPr>
  <dimension ref="A1:Q18"/>
  <sheetViews>
    <sheetView workbookViewId="0">
      <selection activeCell="A1" sqref="A1:Q1"/>
    </sheetView>
  </sheetViews>
  <sheetFormatPr baseColWidth="8" defaultRowHeight="14.4"/>
  <cols>
    <col width="11.44140625" customWidth="1" style="192" min="1" max="1"/>
    <col width="14.33203125" customWidth="1" style="192" min="2" max="2"/>
    <col width="28.5546875" customWidth="1" style="192" min="3" max="3"/>
    <col width="14.33203125" customWidth="1" style="192" min="4" max="4"/>
    <col width="8.5546875" customWidth="1" style="192" min="5" max="5"/>
    <col width="10" customWidth="1" style="192" min="6" max="6"/>
    <col width="11.44140625" customWidth="1" style="192" min="7" max="7"/>
    <col width="21.44140625" customWidth="1" style="192" min="9" max="9"/>
    <col width="11.44140625" customWidth="1" style="192" min="10" max="10"/>
    <col width="25.6640625" customWidth="1" style="192" min="17" max="17"/>
  </cols>
  <sheetData>
    <row r="1" ht="15.75" customHeight="1" s="192">
      <c r="A1" s="78" t="inlineStr">
        <is>
          <t>Payables Aging Report</t>
        </is>
      </c>
    </row>
    <row r="2" ht="15" customHeight="1" s="192">
      <c r="A2" s="75" t="inlineStr">
        <is>
          <t>revlabs revlabpm</t>
        </is>
      </c>
    </row>
    <row r="3" ht="15" customHeight="1" s="192">
      <c r="A3" s="75" t="inlineStr">
        <is>
          <t>Period: 01/2026</t>
        </is>
      </c>
    </row>
    <row r="4" ht="15" customHeight="1" s="192">
      <c r="A4" s="75" t="inlineStr">
        <is>
          <t>As of : 01/31/2026</t>
        </is>
      </c>
    </row>
    <row r="5" ht="15" customHeight="1" s="192">
      <c r="A5" s="33" t="inlineStr">
        <is>
          <t>Payee</t>
        </is>
      </c>
      <c r="B5" s="33" t="inlineStr">
        <is>
          <t>Remittance Vendor</t>
        </is>
      </c>
      <c r="C5" s="18" t="inlineStr">
        <is>
          <t>Payee Name</t>
        </is>
      </c>
      <c r="D5" s="33" t="inlineStr">
        <is>
          <t>Invoice</t>
        </is>
      </c>
      <c r="E5" s="33" t="inlineStr">
        <is>
          <t>Control</t>
        </is>
      </c>
      <c r="F5" s="33" t="inlineStr">
        <is>
          <t>Batch Id</t>
        </is>
      </c>
      <c r="G5" s="33" t="inlineStr">
        <is>
          <t>Property</t>
        </is>
      </c>
      <c r="H5" s="33" t="inlineStr">
        <is>
          <t>Invoice Date</t>
        </is>
      </c>
      <c r="I5" s="33" t="inlineStr">
        <is>
          <t>Account</t>
        </is>
      </c>
      <c r="J5" s="33" t="inlineStr">
        <is>
          <t>Invoice #</t>
        </is>
      </c>
      <c r="K5" s="33" t="inlineStr">
        <is>
          <t>Current</t>
        </is>
      </c>
      <c r="L5" s="33" t="inlineStr">
        <is>
          <t>0-30</t>
        </is>
      </c>
      <c r="M5" s="33" t="inlineStr">
        <is>
          <t>31-60</t>
        </is>
      </c>
      <c r="N5" s="33" t="inlineStr">
        <is>
          <t>61-90</t>
        </is>
      </c>
      <c r="O5" s="33" t="inlineStr">
        <is>
          <t>Over</t>
        </is>
      </c>
      <c r="P5" s="33" t="inlineStr">
        <is>
          <t>Future</t>
        </is>
      </c>
      <c r="Q5" s="18" t="inlineStr">
        <is>
          <t>Notes</t>
        </is>
      </c>
    </row>
    <row r="6" ht="15" customHeight="1" s="192">
      <c r="A6" s="34" t="inlineStr">
        <is>
          <t>Code</t>
        </is>
      </c>
      <c r="B6" s="34" t="n"/>
      <c r="C6" s="20" t="n"/>
      <c r="D6" s="34" t="inlineStr">
        <is>
          <t>Notes</t>
        </is>
      </c>
      <c r="E6" s="34" t="n"/>
      <c r="F6" s="34" t="n"/>
      <c r="G6" s="34" t="n"/>
      <c r="H6" s="34" t="n"/>
      <c r="I6" s="34" t="n"/>
      <c r="J6" s="34" t="n"/>
      <c r="K6" s="34" t="inlineStr">
        <is>
          <t>Owed</t>
        </is>
      </c>
      <c r="L6" s="34" t="inlineStr">
        <is>
          <t>Owed</t>
        </is>
      </c>
      <c r="M6" s="34" t="inlineStr">
        <is>
          <t>Owed</t>
        </is>
      </c>
      <c r="N6" s="34" t="inlineStr">
        <is>
          <t>Owed</t>
        </is>
      </c>
      <c r="O6" s="34" t="inlineStr">
        <is>
          <t>90</t>
        </is>
      </c>
      <c r="P6" s="34" t="inlineStr">
        <is>
          <t>Invoice</t>
        </is>
      </c>
      <c r="Q6" s="20" t="n"/>
    </row>
    <row r="7" ht="15" customHeight="1" s="192">
      <c r="A7" s="34" t="n"/>
      <c r="B7" s="34" t="n"/>
      <c r="C7" s="20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inlineStr">
        <is>
          <t>Owed</t>
        </is>
      </c>
      <c r="P7" s="34" t="n"/>
      <c r="Q7" s="20" t="n"/>
    </row>
    <row r="8" ht="15" customHeight="1" s="192">
      <c r="A8" s="35" t="inlineStr">
        <is>
          <t>v0000073</t>
        </is>
      </c>
      <c r="B8" s="35" t="n"/>
      <c r="C8" s="36" t="inlineStr">
        <is>
          <t>Jones Lang LaSalle Americas Inc</t>
        </is>
      </c>
      <c r="D8" s="36" t="n"/>
      <c r="E8" s="35" t="n"/>
      <c r="F8" s="35" t="n"/>
      <c r="G8" s="35" t="n"/>
      <c r="H8" s="35" t="n"/>
      <c r="I8" s="35" t="n"/>
      <c r="J8" s="35" t="n"/>
      <c r="K8" s="37" t="n"/>
      <c r="L8" s="37" t="n"/>
      <c r="M8" s="37" t="n"/>
      <c r="N8" s="37" t="n"/>
      <c r="O8" s="37" t="n"/>
      <c r="P8" s="38" t="n">
        <v>0</v>
      </c>
      <c r="Q8" s="36" t="n"/>
    </row>
    <row r="9" ht="15" customHeight="1" s="192">
      <c r="A9" s="73" t="n"/>
      <c r="D9" s="73" t="n"/>
      <c r="E9" s="73" t="inlineStr">
        <is>
          <t>P-19527</t>
        </is>
      </c>
      <c r="F9" s="73" t="inlineStr">
        <is>
          <t>19094</t>
        </is>
      </c>
      <c r="G9" s="73" t="inlineStr">
        <is>
          <t>revlabpm</t>
        </is>
      </c>
      <c r="H9" s="40" t="n">
        <v>46021</v>
      </c>
      <c r="I9" s="64" t="inlineStr">
        <is>
          <t>637150 Admin-Tenant Relations</t>
        </is>
      </c>
      <c r="J9" s="73" t="inlineStr">
        <is>
          <t xml:space="preserve">USPAM513912 </t>
        </is>
      </c>
      <c r="K9" s="41" t="n">
        <v>-1158.15</v>
      </c>
      <c r="L9" s="41" t="n">
        <v>0</v>
      </c>
      <c r="M9" s="41" t="n">
        <v>-1158.15</v>
      </c>
      <c r="N9" s="41" t="n">
        <v>0</v>
      </c>
      <c r="O9" s="41" t="n">
        <v>0</v>
      </c>
      <c r="P9" s="41" t="n">
        <v>0</v>
      </c>
      <c r="Q9" s="64" t="inlineStr">
        <is>
          <t xml:space="preserve">12.16.25 Recoverable Expenses </t>
        </is>
      </c>
    </row>
    <row r="10" ht="15" customHeight="1" s="192">
      <c r="A10" s="73" t="n"/>
      <c r="D10" s="73" t="n"/>
      <c r="E10" s="73" t="inlineStr">
        <is>
          <t>P-19711</t>
        </is>
      </c>
      <c r="F10" s="73" t="inlineStr">
        <is>
          <t>19275</t>
        </is>
      </c>
      <c r="G10" s="73" t="inlineStr">
        <is>
          <t>revlabpm</t>
        </is>
      </c>
      <c r="H10" s="40" t="n">
        <v>46031</v>
      </c>
      <c r="I10" s="64" t="inlineStr">
        <is>
          <t>637110 Admin-Pay/Wages</t>
        </is>
      </c>
      <c r="J10" s="73" t="inlineStr">
        <is>
          <t xml:space="preserve">USPAM517721 </t>
        </is>
      </c>
      <c r="K10" s="41" t="n">
        <v>-50237.93</v>
      </c>
      <c r="L10" s="41" t="n">
        <v>-50237.93</v>
      </c>
      <c r="M10" s="41" t="n">
        <v>0</v>
      </c>
      <c r="N10" s="41" t="n">
        <v>0</v>
      </c>
      <c r="O10" s="41" t="n">
        <v>0</v>
      </c>
      <c r="P10" s="41" t="n">
        <v>0</v>
      </c>
      <c r="Q10" s="64" t="inlineStr">
        <is>
          <t xml:space="preserve">12.25 Reimbursable Payroll </t>
        </is>
      </c>
    </row>
    <row r="11" ht="15" customHeight="1" s="192">
      <c r="A11" s="73" t="n"/>
      <c r="D11" s="73" t="n"/>
      <c r="E11" s="73" t="inlineStr">
        <is>
          <t>P-19711</t>
        </is>
      </c>
      <c r="F11" s="73" t="inlineStr">
        <is>
          <t>19275</t>
        </is>
      </c>
      <c r="G11" s="73" t="inlineStr">
        <is>
          <t>revlabpm</t>
        </is>
      </c>
      <c r="H11" s="40" t="n">
        <v>46031</v>
      </c>
      <c r="I11" s="64" t="inlineStr">
        <is>
          <t>637150 Admin-Tenant Relations</t>
        </is>
      </c>
      <c r="J11" s="73" t="inlineStr">
        <is>
          <t xml:space="preserve">USPAM517721 </t>
        </is>
      </c>
      <c r="K11" s="41" t="n">
        <v>10073.5</v>
      </c>
      <c r="L11" s="41" t="n">
        <v>10073.5</v>
      </c>
      <c r="M11" s="41" t="n">
        <v>0</v>
      </c>
      <c r="N11" s="41" t="n">
        <v>0</v>
      </c>
      <c r="O11" s="41" t="n">
        <v>0</v>
      </c>
      <c r="P11" s="41" t="n">
        <v>0</v>
      </c>
      <c r="Q11" s="64" t="inlineStr">
        <is>
          <t xml:space="preserve">11.25 Recoverable Expenses </t>
        </is>
      </c>
    </row>
    <row r="12" ht="15" customHeight="1" s="192">
      <c r="A12" s="73" t="n"/>
      <c r="D12" s="73" t="n"/>
      <c r="E12" s="73" t="inlineStr">
        <is>
          <t>P-19737</t>
        </is>
      </c>
      <c r="F12" s="73" t="inlineStr">
        <is>
          <t>19301</t>
        </is>
      </c>
      <c r="G12" s="73" t="inlineStr">
        <is>
          <t>revlabpm</t>
        </is>
      </c>
      <c r="H12" s="40" t="n">
        <v>46035</v>
      </c>
      <c r="I12" s="64" t="inlineStr">
        <is>
          <t>637130 Admin-Management Fees</t>
        </is>
      </c>
      <c r="J12" s="73" t="inlineStr">
        <is>
          <t xml:space="preserve">USPAM519000 </t>
        </is>
      </c>
      <c r="K12" s="41" t="n">
        <v>14168.79</v>
      </c>
      <c r="L12" s="41" t="n">
        <v>14168.79</v>
      </c>
      <c r="M12" s="41" t="n">
        <v>0</v>
      </c>
      <c r="N12" s="41" t="n">
        <v>0</v>
      </c>
      <c r="O12" s="41" t="n">
        <v>0</v>
      </c>
      <c r="P12" s="41" t="n">
        <v>0</v>
      </c>
      <c r="Q12" s="64" t="inlineStr">
        <is>
          <t xml:space="preserve">12/2025 JLL Mgmt Fee </t>
        </is>
      </c>
    </row>
    <row r="13" ht="15" customHeight="1" s="192">
      <c r="A13" s="73" t="n"/>
      <c r="D13" s="73" t="n"/>
      <c r="E13" s="73" t="inlineStr">
        <is>
          <t>P-19738</t>
        </is>
      </c>
      <c r="F13" s="73" t="inlineStr">
        <is>
          <t>19302</t>
        </is>
      </c>
      <c r="G13" s="73" t="inlineStr">
        <is>
          <t>revlabpm</t>
        </is>
      </c>
      <c r="H13" s="40" t="n">
        <v>46029</v>
      </c>
      <c r="I13" s="64" t="inlineStr">
        <is>
          <t>615110 RM-Pay/Wages</t>
        </is>
      </c>
      <c r="J13" s="73" t="inlineStr">
        <is>
          <t xml:space="preserve">USPAM516039 </t>
        </is>
      </c>
      <c r="K13" s="41" t="n">
        <v>527.6799999999999</v>
      </c>
      <c r="L13" s="41" t="n">
        <v>527.6799999999999</v>
      </c>
      <c r="M13" s="41" t="n">
        <v>0</v>
      </c>
      <c r="N13" s="41" t="n">
        <v>0</v>
      </c>
      <c r="O13" s="41" t="n">
        <v>0</v>
      </c>
      <c r="P13" s="41" t="n">
        <v>0</v>
      </c>
      <c r="Q13" s="64" t="inlineStr">
        <is>
          <t xml:space="preserve">Eng OT 01.02.26 </t>
        </is>
      </c>
    </row>
    <row r="14" ht="15" customHeight="1" s="192">
      <c r="A14" s="73" t="n"/>
      <c r="D14" s="73" t="n"/>
      <c r="E14" s="73" t="inlineStr">
        <is>
          <t>P-19738</t>
        </is>
      </c>
      <c r="F14" s="73" t="inlineStr">
        <is>
          <t>19302</t>
        </is>
      </c>
      <c r="G14" s="73" t="inlineStr">
        <is>
          <t>revlabpm</t>
        </is>
      </c>
      <c r="H14" s="40" t="n">
        <v>46029</v>
      </c>
      <c r="I14" s="64" t="inlineStr">
        <is>
          <t>615110 RM-Pay/Wages</t>
        </is>
      </c>
      <c r="J14" s="73" t="inlineStr">
        <is>
          <t xml:space="preserve">USPAM516039 </t>
        </is>
      </c>
      <c r="K14" s="41" t="n">
        <v>14159.24</v>
      </c>
      <c r="L14" s="41" t="n">
        <v>14159.24</v>
      </c>
      <c r="M14" s="41" t="n">
        <v>0</v>
      </c>
      <c r="N14" s="41" t="n">
        <v>0</v>
      </c>
      <c r="O14" s="41" t="n">
        <v>0</v>
      </c>
      <c r="P14" s="41" t="n">
        <v>0</v>
      </c>
      <c r="Q14" s="64" t="inlineStr">
        <is>
          <t xml:space="preserve">Eng Payroll 01.02.26 </t>
        </is>
      </c>
    </row>
    <row r="15" ht="15" customHeight="1" s="192">
      <c r="A15" s="74" t="n"/>
      <c r="B15" s="257" t="n"/>
      <c r="C15" s="257" t="n"/>
      <c r="D15" s="74" t="n"/>
      <c r="E15" s="74" t="inlineStr">
        <is>
          <t>P-19738</t>
        </is>
      </c>
      <c r="F15" s="74" t="inlineStr">
        <is>
          <t>19302</t>
        </is>
      </c>
      <c r="G15" s="74" t="inlineStr">
        <is>
          <t>revlabpm</t>
        </is>
      </c>
      <c r="H15" s="43" t="n">
        <v>46029</v>
      </c>
      <c r="I15" s="68" t="inlineStr">
        <is>
          <t>637110 Admin-Pay/Wages</t>
        </is>
      </c>
      <c r="J15" s="74" t="inlineStr">
        <is>
          <t xml:space="preserve">USPAM516039 </t>
        </is>
      </c>
      <c r="K15" s="44" t="n">
        <v>7554.8</v>
      </c>
      <c r="L15" s="44" t="n">
        <v>7554.8</v>
      </c>
      <c r="M15" s="44" t="n">
        <v>0</v>
      </c>
      <c r="N15" s="44" t="n">
        <v>0</v>
      </c>
      <c r="O15" s="44" t="n">
        <v>0</v>
      </c>
      <c r="P15" s="44" t="n">
        <v>0</v>
      </c>
      <c r="Q15" s="68" t="inlineStr">
        <is>
          <t xml:space="preserve">Admin Payroll 01.02.26 </t>
        </is>
      </c>
    </row>
    <row r="16" ht="15" customHeight="1" s="192">
      <c r="A16" s="76" t="inlineStr">
        <is>
          <t>Total v0000073</t>
        </is>
      </c>
      <c r="B16" s="267" t="n"/>
      <c r="C16" s="267" t="n"/>
      <c r="D16" s="45" t="n"/>
      <c r="E16" s="45" t="n"/>
      <c r="F16" s="45" t="n"/>
      <c r="G16" s="45" t="n"/>
      <c r="H16" s="45" t="n"/>
      <c r="I16" s="45" t="n"/>
      <c r="J16" s="45" t="n"/>
      <c r="K16" s="46" t="n">
        <v>-4912.07</v>
      </c>
      <c r="L16" s="46" t="n">
        <v>-3753.92</v>
      </c>
      <c r="M16" s="46" t="n">
        <v>-1158.15</v>
      </c>
      <c r="N16" s="46" t="n">
        <v>0</v>
      </c>
      <c r="O16" s="46" t="n">
        <v>0</v>
      </c>
      <c r="P16" s="46" t="n">
        <v>0</v>
      </c>
      <c r="Q16" s="76" t="n"/>
    </row>
    <row r="17" ht="15" customHeight="1" s="192">
      <c r="A17" s="74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</row>
    <row r="18" ht="15" customHeight="1" s="192">
      <c r="A18" s="76" t="inlineStr">
        <is>
          <t xml:space="preserve">Grand Total </t>
        </is>
      </c>
      <c r="B18" s="267" t="n"/>
      <c r="C18" s="267" t="n"/>
      <c r="D18" s="267" t="n"/>
      <c r="E18" s="267" t="n"/>
      <c r="F18" s="267" t="n"/>
      <c r="G18" s="267" t="n"/>
      <c r="H18" s="267" t="n"/>
      <c r="I18" s="267" t="n"/>
      <c r="J18" s="267" t="n"/>
      <c r="K18" s="46" t="n">
        <v>-4912.07</v>
      </c>
      <c r="L18" s="46" t="n">
        <v>-3753.92</v>
      </c>
      <c r="M18" s="46" t="n">
        <v>-1158.15</v>
      </c>
      <c r="N18" s="46" t="n">
        <v>0</v>
      </c>
      <c r="O18" s="46" t="n">
        <v>0</v>
      </c>
      <c r="P18" s="46" t="n">
        <v>0</v>
      </c>
      <c r="Q18" s="47" t="n"/>
    </row>
  </sheetData>
  <mergeCells count="14">
    <mergeCell ref="A10:C10"/>
    <mergeCell ref="A13:C13"/>
    <mergeCell ref="A17:Q17"/>
    <mergeCell ref="A11:C11"/>
    <mergeCell ref="A3:Q3"/>
    <mergeCell ref="A18:J18"/>
    <mergeCell ref="A14:C14"/>
    <mergeCell ref="A4:Q4"/>
    <mergeCell ref="A2:Q2"/>
    <mergeCell ref="A9:C9"/>
    <mergeCell ref="A12:C12"/>
    <mergeCell ref="A1:Q1"/>
    <mergeCell ref="A16:C16"/>
    <mergeCell ref="A15:C1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0070C0"/>
    <outlinePr summaryBelow="1" summaryRight="1"/>
    <pageSetUpPr/>
  </sheetPr>
  <dimension ref="B1:E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4.4"/>
  <cols>
    <col width="2" customWidth="1" style="192" min="1" max="1"/>
    <col width="10" customWidth="1" style="192" min="2" max="2"/>
    <col width="28" customWidth="1" style="192" min="3" max="4"/>
    <col width="24" customWidth="1" style="192" min="5" max="5"/>
  </cols>
  <sheetData>
    <row r="1" ht="18" customHeight="1" s="192">
      <c r="B1" s="98" t="inlineStr">
        <is>
          <t>211300</t>
        </is>
      </c>
    </row>
    <row r="2" ht="18" customHeight="1" s="192">
      <c r="B2" s="98" t="inlineStr">
        <is>
          <t>Accounts Payable - Other</t>
        </is>
      </c>
    </row>
    <row r="3">
      <c r="B3" s="138" t="inlineStr">
        <is>
          <t>Period: Jan-2026  |  revlabs  |  Prepared by: Ryan Walsh  |  05/12/2026</t>
        </is>
      </c>
    </row>
    <row r="5" ht="24" customHeight="1" s="192">
      <c r="B5" s="1" t="inlineStr">
        <is>
          <t>Date</t>
        </is>
      </c>
      <c r="C5" s="1" t="inlineStr">
        <is>
          <t>Description</t>
        </is>
      </c>
      <c r="D5" s="81" t="inlineStr">
        <is>
          <t>GL Account</t>
        </is>
      </c>
      <c r="E5" s="1" t="inlineStr">
        <is>
          <t>Amount</t>
        </is>
      </c>
    </row>
    <row r="7" ht="15" customHeight="1" s="192" thickBot="1"/>
    <row r="8">
      <c r="B8" s="89" t="inlineStr">
        <is>
          <t>Ending Balance per GL</t>
        </is>
      </c>
      <c r="C8" s="254" t="n"/>
      <c r="D8" s="107" t="n"/>
      <c r="E8" s="91">
        <f>SUM(E6:E7)</f>
        <v/>
      </c>
    </row>
    <row r="9">
      <c r="B9" s="255" t="inlineStr">
        <is>
          <t>Ending Balance per TB</t>
        </is>
      </c>
      <c r="C9" s="61" t="n"/>
      <c r="D9" s="84" t="n"/>
      <c r="E9" s="88">
        <f>VLOOKUP(B1,'Trial Balance'!$A:$F,6,0)</f>
        <v/>
      </c>
    </row>
    <row r="10">
      <c r="B10" s="86" t="inlineStr">
        <is>
          <t>Variance</t>
        </is>
      </c>
      <c r="C10" s="256" t="n"/>
      <c r="D10" s="108" t="n"/>
      <c r="E10" s="97">
        <f>E8-E9</f>
        <v/>
      </c>
    </row>
    <row r="11">
      <c r="E11" s="49" t="n"/>
    </row>
  </sheetData>
  <mergeCells count="6">
    <mergeCell ref="B1:E1"/>
    <mergeCell ref="B10:C10"/>
    <mergeCell ref="B3:E3"/>
    <mergeCell ref="B2:E2"/>
    <mergeCell ref="B9:C9"/>
    <mergeCell ref="B8:C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0070C0"/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14" customWidth="1" style="192" min="2" max="2"/>
    <col width="10.5546875" bestFit="1" customWidth="1" style="192" min="3" max="3"/>
    <col width="58" customWidth="1" style="192" min="4" max="4"/>
    <col width="58" customWidth="1" style="192" min="5" max="5"/>
    <col width="18" customWidth="1" style="192" min="6" max="6"/>
  </cols>
  <sheetData>
    <row r="1" ht="18" customHeight="1" s="192">
      <c r="B1" s="98" t="inlineStr">
        <is>
          <t>213100</t>
        </is>
      </c>
      <c r="F1" s="98" t="n"/>
    </row>
    <row r="2" ht="18" customHeight="1" s="192">
      <c r="B2" s="98" t="inlineStr">
        <is>
          <t>Accrued Expenses</t>
        </is>
      </c>
      <c r="F2" s="98" t="n"/>
    </row>
    <row r="3">
      <c r="B3" s="138" t="inlineStr">
        <is>
          <t>revlabs  |  Period: Jan-2026  |  Prepared: 05/12/2026</t>
        </is>
      </c>
      <c r="F3" s="140" t="n"/>
    </row>
    <row r="5" ht="18" customHeight="1" s="192">
      <c r="B5" s="1" t="inlineStr">
        <is>
          <t>Date</t>
        </is>
      </c>
      <c r="C5" s="81" t="inlineStr">
        <is>
          <t>GL Account</t>
        </is>
      </c>
      <c r="D5" s="1" t="inlineStr">
        <is>
          <t>Description</t>
        </is>
      </c>
      <c r="E5" s="81" t="inlineStr">
        <is>
          <t>Vendor</t>
        </is>
      </c>
      <c r="F5" s="1" t="inlineStr">
        <is>
          <t>Amount</t>
        </is>
      </c>
    </row>
    <row r="6">
      <c r="B6" s="123" t="inlineStr">
        <is>
          <t>01/31/2026</t>
        </is>
      </c>
      <c r="C6" s="123" t="n"/>
      <c r="D6" s="6" t="n"/>
      <c r="E6" s="6" t="n"/>
      <c r="F6" s="7" t="n"/>
    </row>
    <row r="7">
      <c r="B7" s="122" t="inlineStr">
        <is>
          <t>01/31/2026</t>
        </is>
      </c>
      <c r="C7" s="122" t="n"/>
      <c r="D7" s="127" t="n"/>
      <c r="E7" s="127" t="n"/>
      <c r="F7" s="4" t="n"/>
    </row>
    <row r="8">
      <c r="B8" s="123" t="inlineStr">
        <is>
          <t>01/31/2026</t>
        </is>
      </c>
      <c r="C8" s="123" t="n"/>
      <c r="D8" s="6" t="n"/>
      <c r="E8" s="6" t="n"/>
      <c r="F8" s="7" t="n"/>
    </row>
    <row r="9">
      <c r="B9" s="122" t="inlineStr">
        <is>
          <t>01/31/2026</t>
        </is>
      </c>
      <c r="C9" s="122" t="n"/>
      <c r="D9" s="127" t="n"/>
      <c r="E9" s="127" t="n"/>
      <c r="F9" s="4" t="n"/>
    </row>
    <row r="10">
      <c r="B10" s="123" t="inlineStr">
        <is>
          <t>01/31/2026</t>
        </is>
      </c>
      <c r="C10" s="123" t="n"/>
      <c r="D10" s="6" t="n"/>
      <c r="E10" s="6" t="n"/>
      <c r="F10" s="7" t="n"/>
    </row>
    <row r="11">
      <c r="B11" s="122" t="inlineStr">
        <is>
          <t>01/31/2026</t>
        </is>
      </c>
      <c r="C11" s="122" t="n"/>
      <c r="D11" s="127" t="n"/>
      <c r="E11" s="127" t="n"/>
      <c r="F11" s="4" t="n"/>
    </row>
    <row r="12">
      <c r="B12" s="123" t="inlineStr">
        <is>
          <t>01/31/2026</t>
        </is>
      </c>
      <c r="C12" s="123" t="n"/>
      <c r="D12" s="6" t="n"/>
      <c r="E12" s="6" t="n"/>
      <c r="F12" s="7" t="n"/>
    </row>
    <row r="13">
      <c r="B13" s="122" t="inlineStr">
        <is>
          <t>01/31/2026</t>
        </is>
      </c>
      <c r="C13" s="122" t="n"/>
      <c r="D13" s="127" t="n"/>
      <c r="E13" s="127" t="n"/>
      <c r="F13" s="4" t="n"/>
    </row>
    <row r="14" ht="15" customHeight="1" s="192" thickBot="1"/>
    <row r="15">
      <c r="B15" s="141" t="inlineStr">
        <is>
          <t>Ending Balance per GL</t>
        </is>
      </c>
      <c r="C15" s="261" t="n"/>
      <c r="D15" s="261" t="n"/>
      <c r="E15" s="143" t="n"/>
      <c r="F15" s="91">
        <f>SUM(F6:F13)</f>
        <v/>
      </c>
    </row>
    <row r="16">
      <c r="B16" s="255" t="inlineStr">
        <is>
          <t>Ending Balance per TB</t>
        </is>
      </c>
      <c r="C16" s="256" t="n"/>
      <c r="D16" s="61" t="n"/>
      <c r="E16" s="84" t="n"/>
      <c r="F16" s="88">
        <f>VLOOKUP(B1,'Trial Balance'!$A:$F,6,0)</f>
        <v/>
      </c>
    </row>
    <row r="17">
      <c r="B17" s="86" t="inlineStr">
        <is>
          <t>Variance</t>
        </is>
      </c>
      <c r="C17" s="256" t="n"/>
      <c r="D17" s="256" t="n"/>
      <c r="E17" s="108" t="n"/>
      <c r="F17" s="97">
        <f>F15-F16</f>
        <v/>
      </c>
    </row>
  </sheetData>
  <mergeCells count="6">
    <mergeCell ref="B1:E1"/>
    <mergeCell ref="B17:D17"/>
    <mergeCell ref="B3:E3"/>
    <mergeCell ref="B2:E2"/>
    <mergeCell ref="B15:D15"/>
    <mergeCell ref="B16:D1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0070C0"/>
    <outlinePr summaryBelow="1" summaryRight="1"/>
    <pageSetUpPr/>
  </sheetPr>
  <dimension ref="B1:F1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B8" sqref="B8:C10"/>
    </sheetView>
  </sheetViews>
  <sheetFormatPr baseColWidth="8" defaultRowHeight="14.4"/>
  <cols>
    <col width="2" customWidth="1" style="192" min="1" max="1"/>
    <col width="12" customWidth="1" style="192" min="2" max="2"/>
    <col width="58" customWidth="1" style="192" min="3" max="3"/>
    <col width="18" customWidth="1" style="192" min="4" max="4"/>
    <col width="10.88671875" customWidth="1" style="192" min="6" max="6"/>
  </cols>
  <sheetData>
    <row r="1" ht="18" customHeight="1" s="192">
      <c r="B1" s="98" t="inlineStr">
        <is>
          <t>217200</t>
        </is>
      </c>
      <c r="F1" s="98" t="n"/>
    </row>
    <row r="2" ht="18" customHeight="1" s="192">
      <c r="B2" s="98" t="inlineStr">
        <is>
          <t>Security Deposit - Other</t>
        </is>
      </c>
      <c r="F2" s="98" t="n"/>
    </row>
    <row r="3">
      <c r="B3" s="138" t="inlineStr">
        <is>
          <t>revlabs  |  Period: Jan-2026  |  Prepared by: Ryan Walsh  |  05/12/2026</t>
        </is>
      </c>
      <c r="F3" s="140" t="n"/>
    </row>
    <row r="5" ht="22.05" customHeight="1" s="192">
      <c r="B5" s="10" t="inlineStr">
        <is>
          <t>Date</t>
        </is>
      </c>
      <c r="C5" s="10" t="inlineStr">
        <is>
          <t>Description</t>
        </is>
      </c>
      <c r="D5" s="146" t="inlineStr">
        <is>
          <t>Revlabspm</t>
        </is>
      </c>
      <c r="E5" s="147" t="inlineStr">
        <is>
          <t>Revlabs</t>
        </is>
      </c>
      <c r="F5" s="147" t="inlineStr">
        <is>
          <t>Total</t>
        </is>
      </c>
    </row>
    <row r="6">
      <c r="B6" s="148" t="n">
        <v>44439</v>
      </c>
      <c r="C6" s="127" t="inlineStr">
        <is>
          <t xml:space="preserve"> 221335-Refundable Security Deposit</t>
        </is>
      </c>
      <c r="D6" s="4" t="n">
        <v>-1000</v>
      </c>
      <c r="E6" s="4" t="n"/>
      <c r="F6" s="4">
        <f>SUM(D6:E6)</f>
        <v/>
      </c>
    </row>
    <row r="7" ht="15" customHeight="1" s="192" thickBot="1">
      <c r="B7" s="144" t="n"/>
      <c r="C7" s="144" t="n"/>
      <c r="D7" s="145" t="n"/>
    </row>
    <row r="8">
      <c r="B8" s="141" t="inlineStr">
        <is>
          <t>Ending Balance per GL</t>
        </is>
      </c>
      <c r="C8" s="261" t="n"/>
      <c r="D8" s="143" t="n"/>
      <c r="E8" s="143" t="n"/>
      <c r="F8" s="91">
        <f>SUM(F6:F7)</f>
        <v/>
      </c>
    </row>
    <row r="9">
      <c r="B9" s="255" t="inlineStr">
        <is>
          <t>Ending Balance per TB</t>
        </is>
      </c>
      <c r="C9" s="61" t="n"/>
      <c r="D9" s="84" t="n"/>
      <c r="E9" s="84" t="n"/>
      <c r="F9" s="88">
        <f>VLOOKUP(B1,'Trial Balance'!$A:$F,6,0)</f>
        <v/>
      </c>
    </row>
    <row r="10">
      <c r="B10" s="86" t="inlineStr">
        <is>
          <t>Variance</t>
        </is>
      </c>
      <c r="C10" s="256" t="n"/>
      <c r="D10" s="108" t="n"/>
      <c r="E10" s="108" t="n"/>
      <c r="F10" s="97">
        <f>F8-F9</f>
        <v/>
      </c>
    </row>
    <row r="11">
      <c r="C11" s="12" t="n"/>
      <c r="D11" s="13" t="n"/>
    </row>
    <row r="12">
      <c r="C12" s="11" t="n"/>
    </row>
  </sheetData>
  <mergeCells count="6">
    <mergeCell ref="B1:E1"/>
    <mergeCell ref="B10:C10"/>
    <mergeCell ref="B3:E3"/>
    <mergeCell ref="B2:E2"/>
    <mergeCell ref="B9:C9"/>
    <mergeCell ref="B8:C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0070C0"/>
    <outlinePr summaryBelow="1" summaryRight="1"/>
    <pageSetUpPr/>
  </sheetPr>
  <dimension ref="A1:O36"/>
  <sheetViews>
    <sheetView workbookViewId="0">
      <selection activeCell="A1" sqref="A1:O1"/>
    </sheetView>
  </sheetViews>
  <sheetFormatPr baseColWidth="8" defaultRowHeight="14.4"/>
  <cols>
    <col width="10.6640625" customWidth="1" style="192" min="1" max="1"/>
    <col width="9.109375" customWidth="1" style="192" min="2" max="2"/>
    <col width="21.33203125" customWidth="1" style="192" min="3" max="3"/>
    <col width="6.5546875" customWidth="1" style="192" min="4" max="4"/>
    <col width="6.33203125" customWidth="1" style="192" min="5" max="5"/>
    <col width="7" customWidth="1" style="192" min="6" max="6"/>
    <col width="8.44140625" customWidth="1" style="192" min="7" max="7"/>
    <col width="7" customWidth="1" style="192" min="8" max="8"/>
    <col width="9.109375" customWidth="1" style="192" min="9" max="9"/>
    <col width="6" customWidth="1" style="192" min="11" max="11"/>
    <col width="8.109375" customWidth="1" style="192" min="13" max="13"/>
    <col width="10.21875" bestFit="1" customWidth="1" style="192" min="14" max="14"/>
  </cols>
  <sheetData>
    <row r="1" ht="15.75" customHeight="1" s="192">
      <c r="A1" s="70" t="inlineStr">
        <is>
          <t>Aging Detail</t>
        </is>
      </c>
    </row>
    <row r="2" ht="15" customHeight="1" s="192">
      <c r="A2" s="66" t="inlineStr">
        <is>
          <t xml:space="preserve">DB Caption: testgl 04/10/2026   Property: revlabpm    Status: Current, Past, Future   Age As Of: 01/31/2026  Post To: 01/2026  </t>
        </is>
      </c>
    </row>
    <row r="3" ht="15" customHeight="1" s="192">
      <c r="A3" s="18" t="inlineStr">
        <is>
          <t>Property</t>
        </is>
      </c>
      <c r="B3" s="18" t="inlineStr">
        <is>
          <t>Customer</t>
        </is>
      </c>
      <c r="C3" s="18" t="inlineStr">
        <is>
          <t>Lease</t>
        </is>
      </c>
      <c r="D3" s="18" t="inlineStr">
        <is>
          <t>Status</t>
        </is>
      </c>
      <c r="E3" s="18" t="inlineStr">
        <is>
          <t>Tran#</t>
        </is>
      </c>
      <c r="F3" s="18" t="inlineStr">
        <is>
          <t>Charge</t>
        </is>
      </c>
      <c r="G3" s="18" t="inlineStr">
        <is>
          <t>Date</t>
        </is>
      </c>
      <c r="H3" s="18" t="inlineStr">
        <is>
          <t>Month</t>
        </is>
      </c>
      <c r="I3" s="19" t="inlineStr">
        <is>
          <t>Current</t>
        </is>
      </c>
      <c r="J3" s="19" t="inlineStr">
        <is>
          <t>0-30</t>
        </is>
      </c>
      <c r="K3" s="19" t="inlineStr">
        <is>
          <t>31-60</t>
        </is>
      </c>
      <c r="L3" s="19" t="inlineStr">
        <is>
          <t>61-90</t>
        </is>
      </c>
      <c r="M3" s="19" t="inlineStr">
        <is>
          <t>Over</t>
        </is>
      </c>
      <c r="N3" s="19" t="inlineStr">
        <is>
          <t>Pre-</t>
        </is>
      </c>
      <c r="O3" s="19" t="inlineStr">
        <is>
          <t>Total</t>
        </is>
      </c>
    </row>
    <row r="4" ht="15" customHeight="1" s="192">
      <c r="A4" s="20" t="n"/>
      <c r="B4" s="20" t="n"/>
      <c r="C4" s="20" t="n"/>
      <c r="D4" s="20" t="n"/>
      <c r="E4" s="20" t="n"/>
      <c r="F4" s="20" t="inlineStr">
        <is>
          <t>Code</t>
        </is>
      </c>
      <c r="G4" s="20" t="n"/>
      <c r="H4" s="20" t="n"/>
      <c r="I4" s="21" t="inlineStr">
        <is>
          <t>Owed</t>
        </is>
      </c>
      <c r="J4" s="21" t="inlineStr">
        <is>
          <t>Owed</t>
        </is>
      </c>
      <c r="K4" s="21" t="inlineStr">
        <is>
          <t>Owed</t>
        </is>
      </c>
      <c r="L4" s="21" t="inlineStr">
        <is>
          <t>Owed</t>
        </is>
      </c>
      <c r="M4" s="21" t="inlineStr">
        <is>
          <t>90 Owed</t>
        </is>
      </c>
      <c r="N4" s="21" t="inlineStr">
        <is>
          <t>payments</t>
        </is>
      </c>
      <c r="O4" s="21" t="inlineStr">
        <is>
          <t>Owed</t>
        </is>
      </c>
    </row>
    <row r="5" ht="15" customHeight="1" s="192">
      <c r="A5" s="71" t="inlineStr">
        <is>
          <t>Revolution Labs Owner, LLC (revlabpm)</t>
        </is>
      </c>
      <c r="B5" s="253" t="n"/>
      <c r="C5" s="253" t="n"/>
      <c r="D5" s="253" t="n"/>
      <c r="E5" s="253" t="n"/>
      <c r="F5" s="253" t="n"/>
      <c r="G5" s="253" t="n"/>
      <c r="H5" s="253" t="n"/>
      <c r="I5" s="253" t="n"/>
      <c r="J5" s="253" t="n"/>
      <c r="K5" s="253" t="n"/>
      <c r="L5" s="253" t="n"/>
      <c r="M5" s="253" t="n"/>
      <c r="N5" s="253" t="n"/>
      <c r="O5" s="253" t="n"/>
    </row>
    <row r="6" ht="15" customHeight="1" s="192">
      <c r="A6" s="65" t="inlineStr">
        <is>
          <t xml:space="preserve">Accent Therapeutics, Inc (t0000011) </t>
        </is>
      </c>
    </row>
    <row r="7" ht="15" customHeight="1" s="192">
      <c r="A7" s="67" t="inlineStr">
        <is>
          <t>revlabpm</t>
        </is>
      </c>
      <c r="B7" s="67" t="n"/>
      <c r="C7" s="67" t="inlineStr">
        <is>
          <t>Accent Therapeutics, Inc</t>
        </is>
      </c>
      <c r="D7" s="67" t="inlineStr">
        <is>
          <t>Current</t>
        </is>
      </c>
      <c r="E7" s="67" t="inlineStr">
        <is>
          <t>C-8760</t>
        </is>
      </c>
      <c r="F7" s="67" t="inlineStr">
        <is>
          <t>ELECT</t>
        </is>
      </c>
      <c r="G7" s="23" t="n">
        <v>46045</v>
      </c>
      <c r="H7" s="67" t="inlineStr">
        <is>
          <t>01/2026</t>
        </is>
      </c>
      <c r="I7" s="24" t="n">
        <v>3325.87</v>
      </c>
      <c r="J7" s="24" t="n">
        <v>3325.87</v>
      </c>
      <c r="K7" s="24" t="n">
        <v>0</v>
      </c>
      <c r="L7" s="24" t="n">
        <v>0</v>
      </c>
      <c r="M7" s="24" t="n">
        <v>0</v>
      </c>
      <c r="N7" s="24" t="n">
        <v>0</v>
      </c>
      <c r="O7" s="24" t="n">
        <v>3325.87</v>
      </c>
    </row>
    <row r="8" ht="15" customHeight="1" s="192">
      <c r="A8" s="67" t="inlineStr">
        <is>
          <t>revlabpm</t>
        </is>
      </c>
      <c r="B8" s="67" t="n"/>
      <c r="C8" s="67" t="inlineStr">
        <is>
          <t>Accent Therapeutics, Inc</t>
        </is>
      </c>
      <c r="D8" s="67" t="inlineStr">
        <is>
          <t>Current</t>
        </is>
      </c>
      <c r="E8" s="67" t="inlineStr">
        <is>
          <t>C-8761</t>
        </is>
      </c>
      <c r="F8" s="67" t="inlineStr">
        <is>
          <t>ELECT</t>
        </is>
      </c>
      <c r="G8" s="23" t="n">
        <v>46045</v>
      </c>
      <c r="H8" s="67" t="inlineStr">
        <is>
          <t>01/2026</t>
        </is>
      </c>
      <c r="I8" s="24" t="n">
        <v>1771.69</v>
      </c>
      <c r="J8" s="24" t="n">
        <v>1771.69</v>
      </c>
      <c r="K8" s="24" t="n">
        <v>0</v>
      </c>
      <c r="L8" s="24" t="n">
        <v>0</v>
      </c>
      <c r="M8" s="24" t="n">
        <v>0</v>
      </c>
      <c r="N8" s="24" t="n">
        <v>0</v>
      </c>
      <c r="O8" s="24" t="n">
        <v>1771.69</v>
      </c>
    </row>
    <row r="9" ht="15" customHeight="1" s="192">
      <c r="A9" s="25" t="inlineStr">
        <is>
          <t>revlabpm</t>
        </is>
      </c>
      <c r="B9" s="25" t="n"/>
      <c r="C9" s="25" t="inlineStr">
        <is>
          <t>Accent Therapeutics, Inc</t>
        </is>
      </c>
      <c r="D9" s="25" t="inlineStr">
        <is>
          <t>Current</t>
        </is>
      </c>
      <c r="E9" s="25" t="inlineStr">
        <is>
          <t>C-8764</t>
        </is>
      </c>
      <c r="F9" s="25" t="inlineStr">
        <is>
          <t>UTILI</t>
        </is>
      </c>
      <c r="G9" s="26" t="n">
        <v>46045</v>
      </c>
      <c r="H9" s="25" t="inlineStr">
        <is>
          <t>01/2026</t>
        </is>
      </c>
      <c r="I9" s="27" t="n">
        <v>11.07</v>
      </c>
      <c r="J9" s="27" t="n">
        <v>11.07</v>
      </c>
      <c r="K9" s="27" t="n">
        <v>0</v>
      </c>
      <c r="L9" s="27" t="n">
        <v>0</v>
      </c>
      <c r="M9" s="27" t="n">
        <v>0</v>
      </c>
      <c r="N9" s="27" t="n">
        <v>0</v>
      </c>
      <c r="O9" s="27" t="n">
        <v>11.07</v>
      </c>
    </row>
    <row r="10" ht="15" customHeight="1" s="192">
      <c r="A10" s="76" t="n"/>
      <c r="B10" s="76" t="n"/>
      <c r="C10" s="29" t="inlineStr">
        <is>
          <t>Accent Therapeutics, Inc</t>
        </is>
      </c>
      <c r="D10" s="76" t="n"/>
      <c r="E10" s="76" t="n"/>
      <c r="F10" s="76" t="n"/>
      <c r="G10" s="76" t="n"/>
      <c r="H10" s="76" t="n"/>
      <c r="I10" s="30" t="n">
        <v>5108.63</v>
      </c>
      <c r="J10" s="30" t="n">
        <v>5108.63</v>
      </c>
      <c r="K10" s="30" t="n">
        <v>0</v>
      </c>
      <c r="L10" s="30" t="n">
        <v>0</v>
      </c>
      <c r="M10" s="30" t="n">
        <v>0</v>
      </c>
      <c r="N10" s="30" t="n">
        <v>0</v>
      </c>
      <c r="O10" s="30" t="n">
        <v>5108.63</v>
      </c>
    </row>
    <row r="11" ht="15" customHeight="1" s="192">
      <c r="A11" s="64" t="n"/>
    </row>
    <row r="12" ht="15" customHeight="1" s="192">
      <c r="A12" s="65" t="inlineStr">
        <is>
          <t xml:space="preserve">Keros Therapeutics Inc (t0000013) </t>
        </is>
      </c>
    </row>
    <row r="13" ht="15" customHeight="1" s="192">
      <c r="A13" s="67" t="inlineStr">
        <is>
          <t>revlabpm</t>
        </is>
      </c>
      <c r="B13" s="67" t="n"/>
      <c r="C13" s="67" t="inlineStr">
        <is>
          <t>Keros Therapeutics Inc</t>
        </is>
      </c>
      <c r="D13" s="67" t="inlineStr">
        <is>
          <t>Current</t>
        </is>
      </c>
      <c r="E13" s="67" t="inlineStr">
        <is>
          <t>C-8758</t>
        </is>
      </c>
      <c r="F13" s="67" t="inlineStr">
        <is>
          <t>ELECT</t>
        </is>
      </c>
      <c r="G13" s="23" t="n">
        <v>46045</v>
      </c>
      <c r="H13" s="67" t="inlineStr">
        <is>
          <t>01/2026</t>
        </is>
      </c>
      <c r="I13" s="24" t="n">
        <v>1298.13</v>
      </c>
      <c r="J13" s="24" t="n">
        <v>1298.13</v>
      </c>
      <c r="K13" s="24" t="n">
        <v>0</v>
      </c>
      <c r="L13" s="24" t="n">
        <v>0</v>
      </c>
      <c r="M13" s="24" t="n">
        <v>0</v>
      </c>
      <c r="N13" s="24" t="n">
        <v>0</v>
      </c>
      <c r="O13" s="24" t="n">
        <v>1298.13</v>
      </c>
    </row>
    <row r="14" ht="15" customHeight="1" s="192">
      <c r="A14" s="67" t="inlineStr">
        <is>
          <t>revlabpm</t>
        </is>
      </c>
      <c r="B14" s="67" t="n"/>
      <c r="C14" s="67" t="inlineStr">
        <is>
          <t>Keros Therapeutics Inc</t>
        </is>
      </c>
      <c r="D14" s="67" t="inlineStr">
        <is>
          <t>Current</t>
        </is>
      </c>
      <c r="E14" s="67" t="inlineStr">
        <is>
          <t>C-8759</t>
        </is>
      </c>
      <c r="F14" s="67" t="inlineStr">
        <is>
          <t>ELECT</t>
        </is>
      </c>
      <c r="G14" s="23" t="n">
        <v>46045</v>
      </c>
      <c r="H14" s="67" t="inlineStr">
        <is>
          <t>01/2026</t>
        </is>
      </c>
      <c r="I14" s="24" t="n">
        <v>6194.28</v>
      </c>
      <c r="J14" s="24" t="n">
        <v>6194.28</v>
      </c>
      <c r="K14" s="24" t="n">
        <v>0</v>
      </c>
      <c r="L14" s="24" t="n">
        <v>0</v>
      </c>
      <c r="M14" s="24" t="n">
        <v>0</v>
      </c>
      <c r="N14" s="24" t="n">
        <v>0</v>
      </c>
      <c r="O14" s="24" t="n">
        <v>6194.28</v>
      </c>
    </row>
    <row r="15" ht="15" customHeight="1" s="192">
      <c r="A15" s="67" t="inlineStr">
        <is>
          <t>revlabpm</t>
        </is>
      </c>
      <c r="B15" s="67" t="n"/>
      <c r="C15" s="67" t="inlineStr">
        <is>
          <t>Keros Therapeutics Inc</t>
        </is>
      </c>
      <c r="D15" s="67" t="inlineStr">
        <is>
          <t>Current</t>
        </is>
      </c>
      <c r="E15" s="67" t="inlineStr">
        <is>
          <t>C-8765</t>
        </is>
      </c>
      <c r="F15" s="67" t="inlineStr">
        <is>
          <t>UTILI</t>
        </is>
      </c>
      <c r="G15" s="23" t="n">
        <v>46045</v>
      </c>
      <c r="H15" s="67" t="inlineStr">
        <is>
          <t>01/2026</t>
        </is>
      </c>
      <c r="I15" s="24" t="n">
        <v>43.57</v>
      </c>
      <c r="J15" s="24" t="n">
        <v>43.57</v>
      </c>
      <c r="K15" s="24" t="n">
        <v>0</v>
      </c>
      <c r="L15" s="24" t="n">
        <v>0</v>
      </c>
      <c r="M15" s="24" t="n">
        <v>0</v>
      </c>
      <c r="N15" s="24" t="n">
        <v>0</v>
      </c>
      <c r="O15" s="24" t="n">
        <v>43.57</v>
      </c>
    </row>
    <row r="16" ht="15" customHeight="1" s="192">
      <c r="A16" s="25" t="inlineStr">
        <is>
          <t>revlabpm</t>
        </is>
      </c>
      <c r="B16" s="25" t="n"/>
      <c r="C16" s="25" t="inlineStr">
        <is>
          <t>Keros Therapeutics Inc</t>
        </is>
      </c>
      <c r="D16" s="25" t="inlineStr">
        <is>
          <t>Current</t>
        </is>
      </c>
      <c r="E16" s="25" t="inlineStr">
        <is>
          <t>C-8766</t>
        </is>
      </c>
      <c r="F16" s="25" t="inlineStr">
        <is>
          <t>UTILI</t>
        </is>
      </c>
      <c r="G16" s="26" t="n">
        <v>46045</v>
      </c>
      <c r="H16" s="25" t="inlineStr">
        <is>
          <t>01/2026</t>
        </is>
      </c>
      <c r="I16" s="27" t="n">
        <v>1581.94</v>
      </c>
      <c r="J16" s="27" t="n">
        <v>1581.94</v>
      </c>
      <c r="K16" s="27" t="n">
        <v>0</v>
      </c>
      <c r="L16" s="27" t="n">
        <v>0</v>
      </c>
      <c r="M16" s="27" t="n">
        <v>0</v>
      </c>
      <c r="N16" s="27" t="n">
        <v>0</v>
      </c>
      <c r="O16" s="27" t="n">
        <v>1581.94</v>
      </c>
    </row>
    <row r="17" ht="15" customHeight="1" s="192">
      <c r="A17" s="76" t="n"/>
      <c r="B17" s="76" t="n"/>
      <c r="C17" s="29" t="inlineStr">
        <is>
          <t>Keros Therapeutics Inc</t>
        </is>
      </c>
      <c r="D17" s="76" t="n"/>
      <c r="E17" s="76" t="n"/>
      <c r="F17" s="76" t="n"/>
      <c r="G17" s="76" t="n"/>
      <c r="H17" s="76" t="n"/>
      <c r="I17" s="30" t="n">
        <v>9117.92</v>
      </c>
      <c r="J17" s="30" t="n">
        <v>9117.92</v>
      </c>
      <c r="K17" s="30" t="n">
        <v>0</v>
      </c>
      <c r="L17" s="30" t="n">
        <v>0</v>
      </c>
      <c r="M17" s="30" t="n">
        <v>0</v>
      </c>
      <c r="N17" s="30" t="n">
        <v>0</v>
      </c>
      <c r="O17" s="30" t="n">
        <v>9117.92</v>
      </c>
    </row>
    <row r="18" ht="15" customHeight="1" s="192">
      <c r="A18" s="64" t="n"/>
    </row>
    <row r="19" ht="15" customHeight="1" s="192">
      <c r="A19" s="65" t="inlineStr">
        <is>
          <t xml:space="preserve">Orum Therapeutics (t0000014) </t>
        </is>
      </c>
    </row>
    <row r="20" ht="15" customHeight="1" s="192">
      <c r="A20" s="67" t="inlineStr">
        <is>
          <t>revlabpm</t>
        </is>
      </c>
      <c r="B20" s="67" t="n"/>
      <c r="C20" s="67" t="inlineStr">
        <is>
          <t>Orum Therapeutics</t>
        </is>
      </c>
      <c r="D20" s="67" t="inlineStr">
        <is>
          <t>Current</t>
        </is>
      </c>
      <c r="E20" s="67" t="inlineStr">
        <is>
          <t>C-8762</t>
        </is>
      </c>
      <c r="F20" s="67" t="inlineStr">
        <is>
          <t>ELECT</t>
        </is>
      </c>
      <c r="G20" s="23" t="n">
        <v>46045</v>
      </c>
      <c r="H20" s="67" t="inlineStr">
        <is>
          <t>01/2026</t>
        </is>
      </c>
      <c r="I20" s="24" t="n">
        <v>51.77</v>
      </c>
      <c r="J20" s="24" t="n">
        <v>51.77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51.77</v>
      </c>
    </row>
    <row r="21" ht="15" customHeight="1" s="192">
      <c r="A21" s="67" t="inlineStr">
        <is>
          <t>revlabpm</t>
        </is>
      </c>
      <c r="B21" s="67" t="n"/>
      <c r="C21" s="67" t="inlineStr">
        <is>
          <t>Orum Therapeutics</t>
        </is>
      </c>
      <c r="D21" s="67" t="inlineStr">
        <is>
          <t>Current</t>
        </is>
      </c>
      <c r="E21" s="67" t="inlineStr">
        <is>
          <t>C-8763</t>
        </is>
      </c>
      <c r="F21" s="67" t="inlineStr">
        <is>
          <t>ELECT</t>
        </is>
      </c>
      <c r="G21" s="23" t="n">
        <v>46045</v>
      </c>
      <c r="H21" s="67" t="inlineStr">
        <is>
          <t>01/2026</t>
        </is>
      </c>
      <c r="I21" s="24" t="n">
        <v>652.03</v>
      </c>
      <c r="J21" s="24" t="n">
        <v>652.03</v>
      </c>
      <c r="K21" s="24" t="n">
        <v>0</v>
      </c>
      <c r="L21" s="24" t="n">
        <v>0</v>
      </c>
      <c r="M21" s="24" t="n">
        <v>0</v>
      </c>
      <c r="N21" s="24" t="n">
        <v>0</v>
      </c>
      <c r="O21" s="24" t="n">
        <v>652.03</v>
      </c>
    </row>
    <row r="22" ht="15" customHeight="1" s="192">
      <c r="A22" s="25" t="inlineStr">
        <is>
          <t>revlabpm</t>
        </is>
      </c>
      <c r="B22" s="25" t="n"/>
      <c r="C22" s="25" t="inlineStr">
        <is>
          <t>Orum Therapeutics</t>
        </is>
      </c>
      <c r="D22" s="25" t="inlineStr">
        <is>
          <t>Current</t>
        </is>
      </c>
      <c r="E22" s="25" t="inlineStr">
        <is>
          <t>C-8767</t>
        </is>
      </c>
      <c r="F22" s="25" t="inlineStr">
        <is>
          <t>UTILI</t>
        </is>
      </c>
      <c r="G22" s="26" t="n">
        <v>46045</v>
      </c>
      <c r="H22" s="25" t="inlineStr">
        <is>
          <t>01/2026</t>
        </is>
      </c>
      <c r="I22" s="27" t="n">
        <v>35.01</v>
      </c>
      <c r="J22" s="27" t="n">
        <v>35.01</v>
      </c>
      <c r="K22" s="27" t="n">
        <v>0</v>
      </c>
      <c r="L22" s="27" t="n">
        <v>0</v>
      </c>
      <c r="M22" s="27" t="n">
        <v>0</v>
      </c>
      <c r="N22" s="27" t="n">
        <v>0</v>
      </c>
      <c r="O22" s="27" t="n">
        <v>35.01</v>
      </c>
    </row>
    <row r="23" ht="15" customHeight="1" s="192">
      <c r="A23" s="76" t="n"/>
      <c r="B23" s="76" t="n"/>
      <c r="C23" s="29" t="inlineStr">
        <is>
          <t>Orum Therapeutics</t>
        </is>
      </c>
      <c r="D23" s="76" t="n"/>
      <c r="E23" s="76" t="n"/>
      <c r="F23" s="76" t="n"/>
      <c r="G23" s="76" t="n"/>
      <c r="H23" s="76" t="n"/>
      <c r="I23" s="30" t="n">
        <v>738.8099999999999</v>
      </c>
      <c r="J23" s="30" t="n">
        <v>738.8099999999999</v>
      </c>
      <c r="K23" s="30" t="n">
        <v>0</v>
      </c>
      <c r="L23" s="30" t="n">
        <v>0</v>
      </c>
      <c r="M23" s="30" t="n">
        <v>0</v>
      </c>
      <c r="N23" s="30" t="n">
        <v>0</v>
      </c>
      <c r="O23" s="30" t="n">
        <v>738.8099999999999</v>
      </c>
    </row>
    <row r="24" ht="15" customHeight="1" s="192">
      <c r="A24" s="64" t="n"/>
    </row>
    <row r="25" ht="15" customHeight="1" s="192">
      <c r="A25" s="65" t="inlineStr">
        <is>
          <t xml:space="preserve">Santi Therapeutics Inc (t0000015) </t>
        </is>
      </c>
    </row>
    <row r="26" ht="15" customHeight="1" s="192">
      <c r="A26" s="67" t="inlineStr">
        <is>
          <t>revlabpm</t>
        </is>
      </c>
      <c r="B26" s="67" t="n"/>
      <c r="C26" s="67" t="inlineStr">
        <is>
          <t>Santi Therapeutics Inc</t>
        </is>
      </c>
      <c r="D26" s="67" t="inlineStr">
        <is>
          <t>Current</t>
        </is>
      </c>
      <c r="E26" s="67" t="inlineStr">
        <is>
          <t>R-4138</t>
        </is>
      </c>
      <c r="F26" s="67" t="inlineStr">
        <is>
          <t>Prepay</t>
        </is>
      </c>
      <c r="G26" s="23" t="n">
        <v>46029</v>
      </c>
      <c r="H26" s="67" t="inlineStr">
        <is>
          <t>01/2026</t>
        </is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-1273.83</v>
      </c>
      <c r="O26" s="24" t="n">
        <v>-1273.83</v>
      </c>
    </row>
    <row r="27" ht="15" customHeight="1" s="192">
      <c r="A27" s="67" t="inlineStr">
        <is>
          <t>revlabpm</t>
        </is>
      </c>
      <c r="B27" s="67" t="n"/>
      <c r="C27" s="67" t="inlineStr">
        <is>
          <t>Santi Therapeutics Inc</t>
        </is>
      </c>
      <c r="D27" s="67" t="inlineStr">
        <is>
          <t>Current</t>
        </is>
      </c>
      <c r="E27" s="67" t="inlineStr">
        <is>
          <t>R-4138</t>
        </is>
      </c>
      <c r="F27" s="67" t="inlineStr">
        <is>
          <t>Prepay</t>
        </is>
      </c>
      <c r="G27" s="23" t="n">
        <v>46029</v>
      </c>
      <c r="H27" s="67" t="inlineStr">
        <is>
          <t>01/2026</t>
        </is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-292888.88</v>
      </c>
      <c r="O27" s="24" t="n">
        <v>-292888.88</v>
      </c>
    </row>
    <row r="28" ht="15" customHeight="1" s="192">
      <c r="A28" s="67" t="inlineStr">
        <is>
          <t>revlabpm</t>
        </is>
      </c>
      <c r="B28" s="67" t="n"/>
      <c r="C28" s="67" t="inlineStr">
        <is>
          <t>Santi Therapeutics Inc</t>
        </is>
      </c>
      <c r="D28" s="67" t="inlineStr">
        <is>
          <t>Current</t>
        </is>
      </c>
      <c r="E28" s="67" t="inlineStr">
        <is>
          <t>C-8757</t>
        </is>
      </c>
      <c r="F28" s="67" t="inlineStr">
        <is>
          <t>ELECT</t>
        </is>
      </c>
      <c r="G28" s="23" t="n">
        <v>46045</v>
      </c>
      <c r="H28" s="67" t="inlineStr">
        <is>
          <t>01/2026</t>
        </is>
      </c>
      <c r="I28" s="24" t="n">
        <v>2060.41</v>
      </c>
      <c r="J28" s="24" t="n">
        <v>2060.41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2060.41</v>
      </c>
    </row>
    <row r="29" ht="15" customHeight="1" s="192">
      <c r="A29" s="25" t="inlineStr">
        <is>
          <t>revlabpm</t>
        </is>
      </c>
      <c r="B29" s="25" t="n"/>
      <c r="C29" s="25" t="inlineStr">
        <is>
          <t>Santi Therapeutics Inc</t>
        </is>
      </c>
      <c r="D29" s="25" t="inlineStr">
        <is>
          <t>Current</t>
        </is>
      </c>
      <c r="E29" s="25" t="inlineStr">
        <is>
          <t>C-8768</t>
        </is>
      </c>
      <c r="F29" s="25" t="inlineStr">
        <is>
          <t>UTILI</t>
        </is>
      </c>
      <c r="G29" s="26" t="n">
        <v>46045</v>
      </c>
      <c r="H29" s="25" t="inlineStr">
        <is>
          <t>01/2026</t>
        </is>
      </c>
      <c r="I29" s="27" t="n">
        <v>65.36</v>
      </c>
      <c r="J29" s="27" t="n">
        <v>65.36</v>
      </c>
      <c r="K29" s="27" t="n">
        <v>0</v>
      </c>
      <c r="L29" s="27" t="n">
        <v>0</v>
      </c>
      <c r="M29" s="27" t="n">
        <v>0</v>
      </c>
      <c r="N29" s="27" t="n">
        <v>0</v>
      </c>
      <c r="O29" s="27" t="n">
        <v>65.36</v>
      </c>
    </row>
    <row r="30" ht="15" customHeight="1" s="192">
      <c r="A30" s="76" t="n"/>
      <c r="B30" s="76" t="n"/>
      <c r="C30" s="29" t="inlineStr">
        <is>
          <t>Santi Therapeutics Inc</t>
        </is>
      </c>
      <c r="D30" s="76" t="n"/>
      <c r="E30" s="76" t="n"/>
      <c r="F30" s="76" t="n"/>
      <c r="G30" s="76" t="n"/>
      <c r="H30" s="76" t="n"/>
      <c r="I30" s="30" t="n">
        <v>2125.77</v>
      </c>
      <c r="J30" s="30" t="n">
        <v>2125.77</v>
      </c>
      <c r="K30" s="30" t="n">
        <v>0</v>
      </c>
      <c r="L30" s="30" t="n">
        <v>0</v>
      </c>
      <c r="M30" s="30" t="n">
        <v>0</v>
      </c>
      <c r="N30" s="30" t="n">
        <v>-294162.71</v>
      </c>
      <c r="O30" s="30" t="n">
        <v>-292036.94</v>
      </c>
    </row>
    <row r="31" ht="15" customHeight="1" s="192">
      <c r="A31" s="68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</row>
    <row r="32" ht="15" customHeight="1" s="192">
      <c r="A32" s="29" t="inlineStr">
        <is>
          <t>revlabpm</t>
        </is>
      </c>
      <c r="B32" s="76" t="n"/>
      <c r="C32" s="76" t="n"/>
      <c r="D32" s="76" t="n"/>
      <c r="E32" s="76" t="n"/>
      <c r="F32" s="76" t="n"/>
      <c r="G32" s="76" t="n"/>
      <c r="H32" s="76" t="n"/>
      <c r="I32" s="30" t="n">
        <v>17091.13</v>
      </c>
      <c r="J32" s="30" t="n">
        <v>17091.13</v>
      </c>
      <c r="K32" s="30" t="n">
        <v>0</v>
      </c>
      <c r="L32" s="30" t="n">
        <v>0</v>
      </c>
      <c r="M32" s="30" t="n">
        <v>0</v>
      </c>
      <c r="N32" s="30" t="n">
        <v>-294162.71</v>
      </c>
      <c r="O32" s="30" t="n">
        <v>-277071.58</v>
      </c>
    </row>
    <row r="33" ht="15" customHeight="1" s="192">
      <c r="A33" s="68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</row>
    <row r="34" ht="15" customHeight="1" s="192">
      <c r="A34" s="29" t="inlineStr">
        <is>
          <t>Grand Total</t>
        </is>
      </c>
      <c r="B34" s="76" t="n"/>
      <c r="C34" s="76" t="n"/>
      <c r="D34" s="76" t="n"/>
      <c r="E34" s="76" t="n"/>
      <c r="F34" s="76" t="n"/>
      <c r="G34" s="76" t="n"/>
      <c r="H34" s="76" t="n"/>
      <c r="I34" s="30" t="n">
        <v>17091.13</v>
      </c>
      <c r="J34" s="30" t="n">
        <v>17091.13</v>
      </c>
      <c r="K34" s="30" t="n">
        <v>0</v>
      </c>
      <c r="L34" s="30" t="n">
        <v>0</v>
      </c>
      <c r="M34" s="30" t="n">
        <v>0</v>
      </c>
      <c r="N34" s="30" t="n">
        <v>-294162.71</v>
      </c>
      <c r="O34" s="30" t="n">
        <v>-277071.58</v>
      </c>
    </row>
    <row r="35" ht="15" customHeight="1" s="192">
      <c r="A35" s="64" t="n"/>
    </row>
    <row r="36" ht="15" customHeight="1" s="192">
      <c r="A36" s="67" t="inlineStr">
        <is>
          <t>UserId : rwalsh@greatlandpartners.com Date : 5/11/2026 Time : 8:04 AM</t>
        </is>
      </c>
    </row>
  </sheetData>
  <mergeCells count="14">
    <mergeCell ref="A35:O35"/>
    <mergeCell ref="A12:O12"/>
    <mergeCell ref="A25:O25"/>
    <mergeCell ref="A24:O24"/>
    <mergeCell ref="A2:O2"/>
    <mergeCell ref="A33:O33"/>
    <mergeCell ref="A19:O19"/>
    <mergeCell ref="A36:O36"/>
    <mergeCell ref="A11:O11"/>
    <mergeCell ref="A1:O1"/>
    <mergeCell ref="A5:O5"/>
    <mergeCell ref="A31:O31"/>
    <mergeCell ref="A6:O6"/>
    <mergeCell ref="A18:O1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0070C0"/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14" customWidth="1" style="192" min="2" max="2"/>
    <col width="54" customWidth="1" style="192" min="3" max="3"/>
    <col width="18" customWidth="1" style="192" min="4" max="4"/>
    <col width="14.44140625" bestFit="1" customWidth="1" style="192" min="6" max="6"/>
  </cols>
  <sheetData>
    <row r="1" ht="18" customHeight="1" s="192">
      <c r="B1" s="98" t="inlineStr">
        <is>
          <t>311100</t>
        </is>
      </c>
      <c r="F1" s="98" t="n"/>
    </row>
    <row r="2" ht="18" customHeight="1" s="192">
      <c r="B2" s="98" t="inlineStr">
        <is>
          <t>Contributions - Partner A</t>
        </is>
      </c>
      <c r="F2" s="98" t="n"/>
    </row>
    <row r="3">
      <c r="B3" s="138" t="inlineStr">
        <is>
          <t>revlabs  |  Period: Jan-2026  |  Prepared: 05/12/2026</t>
        </is>
      </c>
      <c r="F3" s="140" t="n"/>
    </row>
    <row r="5" ht="18" customHeight="1" s="192">
      <c r="B5" s="1" t="inlineStr">
        <is>
          <t>Date</t>
        </is>
      </c>
      <c r="C5" s="1" t="inlineStr">
        <is>
          <t>Description</t>
        </is>
      </c>
      <c r="D5" s="1" t="inlineStr">
        <is>
          <t>Revlabs</t>
        </is>
      </c>
      <c r="E5" s="1" t="inlineStr">
        <is>
          <t>Revlabpm</t>
        </is>
      </c>
      <c r="F5" s="1" t="inlineStr">
        <is>
          <t>Total</t>
        </is>
      </c>
    </row>
    <row r="6">
      <c r="B6" s="148" t="inlineStr">
        <is>
          <t>01/01/2025</t>
        </is>
      </c>
      <c r="C6" s="127" t="inlineStr">
        <is>
          <t>Funding</t>
        </is>
      </c>
      <c r="D6" s="4" t="n">
        <v>-80942266.06</v>
      </c>
      <c r="E6" s="4" t="n"/>
      <c r="F6" s="4">
        <f>SUM(D6:E6)</f>
        <v/>
      </c>
    </row>
    <row r="7" ht="15" customHeight="1" s="192" thickBot="1"/>
    <row r="8">
      <c r="B8" s="89" t="inlineStr">
        <is>
          <t>Ending Balance per GL</t>
        </is>
      </c>
      <c r="C8" s="254" t="n"/>
      <c r="D8" s="91" t="n"/>
      <c r="E8" s="91" t="n"/>
      <c r="F8" s="114">
        <f>SUM(F2:F6)</f>
        <v/>
      </c>
    </row>
    <row r="9">
      <c r="B9" s="255" t="inlineStr">
        <is>
          <t>Ending Balance per TB</t>
        </is>
      </c>
      <c r="C9" s="61" t="n"/>
      <c r="D9" s="88" t="n"/>
      <c r="E9" s="88" t="n"/>
      <c r="F9" s="88">
        <f>VLOOKUP(B1,'Trial Balance'!$A:$F,6,0)</f>
        <v/>
      </c>
    </row>
    <row r="10">
      <c r="B10" s="86" t="inlineStr">
        <is>
          <t>Variance</t>
        </is>
      </c>
      <c r="C10" s="256" t="n"/>
      <c r="D10" s="97" t="n"/>
      <c r="E10" s="97" t="n"/>
      <c r="F10" s="97">
        <f>F8-F9</f>
        <v/>
      </c>
    </row>
  </sheetData>
  <mergeCells count="6">
    <mergeCell ref="B1:E1"/>
    <mergeCell ref="B10:C10"/>
    <mergeCell ref="B3:E3"/>
    <mergeCell ref="B2:E2"/>
    <mergeCell ref="B9:C9"/>
    <mergeCell ref="B8:C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0070C0"/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4.4"/>
  <cols>
    <col width="2" customWidth="1" style="192" min="1" max="1"/>
    <col width="14" customWidth="1" style="192" min="2" max="2"/>
    <col width="46" customWidth="1" style="192" min="3" max="3"/>
    <col width="18" customWidth="1" style="192" min="4" max="6"/>
  </cols>
  <sheetData>
    <row r="1" ht="18" customHeight="1" s="192">
      <c r="B1" s="98" t="inlineStr">
        <is>
          <t>331100</t>
        </is>
      </c>
      <c r="F1" s="98" t="n"/>
    </row>
    <row r="2" ht="18" customHeight="1" s="192">
      <c r="B2" s="98" t="inlineStr">
        <is>
          <t>Distributions - Partner A</t>
        </is>
      </c>
      <c r="F2" s="98" t="n"/>
    </row>
    <row r="3">
      <c r="B3" s="138" t="inlineStr">
        <is>
          <t>revlabs  |  Period: Jan-2026  |  Prepared: 05/12/2026</t>
        </is>
      </c>
      <c r="F3" s="140" t="n"/>
    </row>
    <row r="5" ht="18" customHeight="1" s="192">
      <c r="B5" s="1" t="inlineStr">
        <is>
          <t>Date</t>
        </is>
      </c>
      <c r="C5" s="1" t="inlineStr">
        <is>
          <t>Description</t>
        </is>
      </c>
      <c r="D5" s="1" t="inlineStr">
        <is>
          <t>Revlabs</t>
        </is>
      </c>
      <c r="E5" s="1" t="inlineStr">
        <is>
          <t>Revlabpm</t>
        </is>
      </c>
      <c r="F5" s="1" t="inlineStr">
        <is>
          <t>Total</t>
        </is>
      </c>
    </row>
    <row r="6">
      <c r="B6" s="148" t="inlineStr">
        <is>
          <t>05/01/2021</t>
        </is>
      </c>
      <c r="C6" s="127" t="inlineStr">
        <is>
          <t>331100-Partner Distributions</t>
        </is>
      </c>
      <c r="D6" s="4" t="n">
        <v>19711731.39</v>
      </c>
      <c r="E6" s="4" t="n">
        <v>0</v>
      </c>
      <c r="F6" s="4">
        <f>SUM(D6:E6)</f>
        <v/>
      </c>
    </row>
    <row r="7">
      <c r="B7" s="149" t="inlineStr">
        <is>
          <t>07/01/2024</t>
        </is>
      </c>
      <c r="C7" s="6" t="inlineStr">
        <is>
          <t>Transfer to Rev Lab Ventures</t>
        </is>
      </c>
      <c r="D7" s="7" t="n">
        <v>0</v>
      </c>
      <c r="E7" s="7" t="n">
        <v>1250000</v>
      </c>
      <c r="F7" s="7">
        <f>SUM(D7:E7)</f>
        <v/>
      </c>
    </row>
    <row r="8" ht="28.8" customHeight="1" s="192">
      <c r="B8" s="148" t="inlineStr">
        <is>
          <t>09/01/2024</t>
        </is>
      </c>
      <c r="C8" s="127" t="inlineStr">
        <is>
          <t>Rcd: Distribution_09'24 - Transfer to Rev Lab Ventures</t>
        </is>
      </c>
      <c r="D8" s="4" t="n">
        <v>0</v>
      </c>
      <c r="E8" s="4" t="n">
        <v>2000000</v>
      </c>
      <c r="F8" s="4">
        <f>SUM(D8:E8)</f>
        <v/>
      </c>
    </row>
    <row r="9">
      <c r="B9" s="149" t="inlineStr">
        <is>
          <t>12/01/2024</t>
        </is>
      </c>
      <c r="C9" s="6" t="inlineStr">
        <is>
          <t>Rcd: Distribution_12'24</t>
        </is>
      </c>
      <c r="D9" s="7" t="n">
        <v>0</v>
      </c>
      <c r="E9" s="7" t="n">
        <v>825000</v>
      </c>
      <c r="F9" s="7">
        <f>SUM(D9:E9)</f>
        <v/>
      </c>
    </row>
    <row r="10">
      <c r="B10" s="148" t="inlineStr">
        <is>
          <t>03/01/2025</t>
        </is>
      </c>
      <c r="C10" s="127" t="inlineStr">
        <is>
          <t>Rcd: Distribution_03'25</t>
        </is>
      </c>
      <c r="D10" s="4" t="n">
        <v>0</v>
      </c>
      <c r="E10" s="4" t="n">
        <v>540000</v>
      </c>
      <c r="F10" s="4">
        <f>SUM(D10:E10)</f>
        <v/>
      </c>
    </row>
    <row r="11">
      <c r="B11" s="149" t="inlineStr">
        <is>
          <t>08/01/2025</t>
        </is>
      </c>
      <c r="C11" s="6" t="inlineStr">
        <is>
          <t>Rcd: Distribution_08'25</t>
        </is>
      </c>
      <c r="D11" s="7" t="n">
        <v>0</v>
      </c>
      <c r="E11" s="7" t="n">
        <v>685000</v>
      </c>
      <c r="F11" s="7">
        <f>SUM(D11:E11)</f>
        <v/>
      </c>
    </row>
    <row r="12">
      <c r="B12" s="148" t="inlineStr">
        <is>
          <t>09/01/2025</t>
        </is>
      </c>
      <c r="C12" s="127" t="inlineStr">
        <is>
          <t>Rcd: Distribution_09'25</t>
        </is>
      </c>
      <c r="D12" s="4" t="n">
        <v>0</v>
      </c>
      <c r="E12" s="4" t="n">
        <v>700000</v>
      </c>
      <c r="F12" s="4">
        <f>SUM(D12:E12)</f>
        <v/>
      </c>
    </row>
    <row r="13">
      <c r="B13" s="149" t="inlineStr">
        <is>
          <t>12/01/2025</t>
        </is>
      </c>
      <c r="C13" s="6" t="inlineStr">
        <is>
          <t>Rcd: Distribution_12'25</t>
        </is>
      </c>
      <c r="D13" s="7" t="n">
        <v>0</v>
      </c>
      <c r="E13" s="7" t="n">
        <v>1025000</v>
      </c>
      <c r="F13" s="7">
        <f>SUM(D13:E13)</f>
        <v/>
      </c>
    </row>
    <row r="14" ht="15" customHeight="1" s="192" thickBot="1">
      <c r="B14" s="9" t="n"/>
      <c r="C14" s="9" t="n"/>
      <c r="D14" s="9" t="n"/>
      <c r="E14" s="9" t="n"/>
      <c r="F14" s="9" t="n"/>
    </row>
    <row r="15">
      <c r="B15" s="89" t="inlineStr">
        <is>
          <t>Ending Balance per GL</t>
        </is>
      </c>
      <c r="C15" s="254" t="n"/>
      <c r="D15" s="91" t="n"/>
      <c r="E15" s="91" t="n"/>
      <c r="F15" s="114">
        <f>SUM(F6:F13)</f>
        <v/>
      </c>
    </row>
    <row r="16">
      <c r="B16" s="255" t="inlineStr">
        <is>
          <t>Ending Balance per TB</t>
        </is>
      </c>
      <c r="C16" s="61" t="n"/>
      <c r="D16" s="88" t="n"/>
      <c r="E16" s="88" t="n"/>
      <c r="F16" s="88">
        <f>VLOOKUP(B1,'Trial Balance'!$A:$F,6,0)</f>
        <v/>
      </c>
    </row>
    <row r="17">
      <c r="B17" s="86" t="inlineStr">
        <is>
          <t>Variance</t>
        </is>
      </c>
      <c r="C17" s="256" t="n"/>
      <c r="D17" s="97" t="n"/>
      <c r="E17" s="97" t="n"/>
      <c r="F17" s="97">
        <f>F15-F16</f>
        <v/>
      </c>
    </row>
  </sheetData>
  <mergeCells count="6">
    <mergeCell ref="B16:C16"/>
    <mergeCell ref="B1:E1"/>
    <mergeCell ref="B15:C15"/>
    <mergeCell ref="B3:E3"/>
    <mergeCell ref="B2:E2"/>
    <mergeCell ref="B17:C1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0070C0"/>
    <outlinePr summaryBelow="1" summaryRight="1"/>
    <pageSetUpPr/>
  </sheetPr>
  <dimension ref="B1:F10"/>
  <sheetViews>
    <sheetView workbookViewId="0">
      <selection activeCell="H12" sqref="H12"/>
    </sheetView>
  </sheetViews>
  <sheetFormatPr baseColWidth="8" defaultRowHeight="14.4"/>
  <cols>
    <col width="2" customWidth="1" style="192" min="1" max="1"/>
    <col width="40" customWidth="1" style="192" min="2" max="3"/>
    <col width="18" customWidth="1" style="192" min="4" max="6"/>
  </cols>
  <sheetData>
    <row r="1" ht="18" customHeight="1" s="192">
      <c r="B1" s="98" t="n">
        <v>381100</v>
      </c>
      <c r="F1" s="98" t="n"/>
    </row>
    <row r="2" ht="18" customHeight="1" s="192">
      <c r="B2" s="98" t="inlineStr">
        <is>
          <t>Retained Earnings - Control</t>
        </is>
      </c>
      <c r="F2" s="98" t="n"/>
    </row>
    <row r="3">
      <c r="B3" s="138" t="inlineStr">
        <is>
          <t>revlabs  |  Period: Jan-2026  |  Prepared: 05/12/2026</t>
        </is>
      </c>
      <c r="F3" s="140" t="n"/>
    </row>
    <row r="5" ht="18" customHeight="1" s="192">
      <c r="B5" s="1" t="inlineStr">
        <is>
          <t>Description</t>
        </is>
      </c>
      <c r="C5" s="1" t="inlineStr">
        <is>
          <t>Description</t>
        </is>
      </c>
      <c r="D5" s="1" t="inlineStr">
        <is>
          <t>Revlabpm</t>
        </is>
      </c>
      <c r="E5" s="1" t="inlineStr">
        <is>
          <t>Revlabs</t>
        </is>
      </c>
      <c r="F5" s="1" t="inlineStr">
        <is>
          <t>Total</t>
        </is>
      </c>
    </row>
    <row r="6">
      <c r="B6" s="150" t="n">
        <v>46023</v>
      </c>
      <c r="C6" s="103" t="inlineStr">
        <is>
          <t>Beginning Balance</t>
        </is>
      </c>
      <c r="D6" s="104" t="n">
        <v>-8184455.73</v>
      </c>
      <c r="E6" s="104" t="n">
        <v>251436.26</v>
      </c>
      <c r="F6" s="104">
        <f>SUM(D6:E6)</f>
        <v/>
      </c>
    </row>
    <row r="7" ht="15" customHeight="1" s="192" thickBot="1">
      <c r="B7" s="9" t="n"/>
      <c r="C7" s="8" t="n"/>
      <c r="D7" s="9" t="n"/>
      <c r="E7" s="9" t="n"/>
      <c r="F7" s="9" t="n"/>
    </row>
    <row r="8">
      <c r="B8" s="89" t="inlineStr">
        <is>
          <t>Ending Balance per GL</t>
        </is>
      </c>
      <c r="C8" s="254" t="n"/>
      <c r="D8" s="91" t="n"/>
      <c r="E8" s="91" t="n"/>
      <c r="F8" s="114">
        <f>SUM(F6:F7)</f>
        <v/>
      </c>
    </row>
    <row r="9">
      <c r="B9" s="255" t="inlineStr">
        <is>
          <t>Ending Balance per TB</t>
        </is>
      </c>
      <c r="C9" s="61" t="n"/>
      <c r="D9" s="88" t="n"/>
      <c r="E9" s="88" t="n"/>
      <c r="F9" s="88" t="n">
        <v>-7933019.47</v>
      </c>
    </row>
    <row r="10">
      <c r="B10" s="86" t="inlineStr">
        <is>
          <t>Variance</t>
        </is>
      </c>
      <c r="C10" s="256" t="n"/>
      <c r="D10" s="97" t="n"/>
      <c r="E10" s="97" t="n"/>
      <c r="F10" s="97" t="n">
        <v>0</v>
      </c>
    </row>
  </sheetData>
  <mergeCells count="6">
    <mergeCell ref="B1:E1"/>
    <mergeCell ref="B10:C10"/>
    <mergeCell ref="B3:E3"/>
    <mergeCell ref="B2:E2"/>
    <mergeCell ref="B9:C9"/>
    <mergeCell ref="B8:C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0070C0"/>
    <outlinePr summaryBelow="1" summaryRight="1"/>
    <pageSetUpPr/>
  </sheetPr>
  <dimension ref="A1:F85"/>
  <sheetViews>
    <sheetView topLeftCell="A77" workbookViewId="0">
      <selection activeCell="F78" sqref="F78"/>
    </sheetView>
  </sheetViews>
  <sheetFormatPr baseColWidth="8" defaultRowHeight="14.4"/>
  <cols>
    <col width="11.44140625" customWidth="1" style="192" min="1" max="1"/>
    <col width="37.109375" customWidth="1" style="192" min="2" max="2"/>
    <col width="17.109375" customWidth="1" style="192" min="3" max="3"/>
    <col width="11" bestFit="1" customWidth="1" style="192" min="4" max="5"/>
    <col width="11.5546875" bestFit="1" customWidth="1" style="192" min="6" max="6"/>
  </cols>
  <sheetData>
    <row r="1" ht="15" customHeight="1" s="192">
      <c r="A1" s="75" t="inlineStr">
        <is>
          <t>Property =  revlabpm revlabs</t>
        </is>
      </c>
    </row>
    <row r="2" ht="15.75" customHeight="1" s="192">
      <c r="A2" s="78" t="inlineStr">
        <is>
          <t>Trial Balance</t>
        </is>
      </c>
    </row>
    <row r="3" ht="15" customHeight="1" s="192">
      <c r="A3" s="75" t="inlineStr">
        <is>
          <t>Period = Jan 2026</t>
        </is>
      </c>
    </row>
    <row r="4" ht="15" customHeight="1" s="192">
      <c r="A4" s="75" t="inlineStr">
        <is>
          <t>Book = Accrual ; Tree = ysi_tb</t>
        </is>
      </c>
    </row>
    <row r="5" ht="15" customHeight="1" s="192">
      <c r="A5" s="33" t="n"/>
      <c r="B5" s="18" t="n"/>
      <c r="C5" s="33" t="inlineStr">
        <is>
          <t>Forward</t>
        </is>
      </c>
      <c r="D5" s="33" t="n"/>
      <c r="E5" s="33" t="n"/>
      <c r="F5" s="33" t="inlineStr">
        <is>
          <t>Ending</t>
        </is>
      </c>
    </row>
    <row r="6" ht="15" customHeight="1" s="192">
      <c r="A6" s="34" t="n"/>
      <c r="B6" s="20" t="n"/>
      <c r="C6" s="34" t="inlineStr">
        <is>
          <t>Balance</t>
        </is>
      </c>
      <c r="D6" s="34" t="inlineStr">
        <is>
          <t>Debit</t>
        </is>
      </c>
      <c r="E6" s="34" t="inlineStr">
        <is>
          <t>Credit</t>
        </is>
      </c>
      <c r="F6" s="34" t="inlineStr">
        <is>
          <t>Balance</t>
        </is>
      </c>
    </row>
    <row r="7" ht="15" customHeight="1" s="192">
      <c r="A7" s="58" t="inlineStr">
        <is>
          <t>111100</t>
        </is>
      </c>
      <c r="B7" s="59" t="inlineStr">
        <is>
          <t>Cash - Operating</t>
        </is>
      </c>
      <c r="C7" s="60" t="n">
        <v>777307.24</v>
      </c>
      <c r="D7" s="60" t="n">
        <v>569681.8</v>
      </c>
      <c r="E7" s="60" t="n">
        <v>0</v>
      </c>
      <c r="F7" s="60" t="n">
        <v>1346989.04</v>
      </c>
    </row>
    <row r="8" ht="15" customHeight="1" s="192">
      <c r="A8" s="73" t="inlineStr">
        <is>
          <t>111210</t>
        </is>
      </c>
      <c r="B8" s="64" t="inlineStr">
        <is>
          <t>Cash - Development - BofA</t>
        </is>
      </c>
      <c r="C8" s="41" t="n">
        <v>153410.1</v>
      </c>
      <c r="D8" s="41" t="n">
        <v>0</v>
      </c>
      <c r="E8" s="41" t="n">
        <v>0</v>
      </c>
      <c r="F8" s="41" t="n">
        <v>153410.1</v>
      </c>
    </row>
    <row r="9" ht="15" customHeight="1" s="192">
      <c r="A9" s="73" t="inlineStr">
        <is>
          <t>115100</t>
        </is>
      </c>
      <c r="B9" s="64" t="inlineStr">
        <is>
          <t>Restricted Cash - Deposit Escrow</t>
        </is>
      </c>
      <c r="C9" s="41" t="n">
        <v>4375</v>
      </c>
      <c r="D9" s="41" t="n">
        <v>0</v>
      </c>
      <c r="E9" s="41" t="n">
        <v>0</v>
      </c>
      <c r="F9" s="41" t="n">
        <v>4375</v>
      </c>
    </row>
    <row r="10" ht="15" customHeight="1" s="192">
      <c r="A10" s="73" t="inlineStr">
        <is>
          <t>115200</t>
        </is>
      </c>
      <c r="B10" s="64" t="inlineStr">
        <is>
          <t>Restricted Cash - RE Tax Escrow</t>
        </is>
      </c>
      <c r="C10" s="41" t="n">
        <v>576594.6800000001</v>
      </c>
      <c r="D10" s="41" t="n">
        <v>0</v>
      </c>
      <c r="E10" s="41" t="n">
        <v>295455.62</v>
      </c>
      <c r="F10" s="41" t="n">
        <v>281139.06</v>
      </c>
    </row>
    <row r="11" ht="15" customHeight="1" s="192">
      <c r="A11" s="73" t="inlineStr">
        <is>
          <t>115300</t>
        </is>
      </c>
      <c r="B11" s="64" t="inlineStr">
        <is>
          <t>Restricted Cash - Insurance Escrow</t>
        </is>
      </c>
      <c r="C11" s="41" t="n">
        <v>339443.8</v>
      </c>
      <c r="D11" s="41" t="n">
        <v>0</v>
      </c>
      <c r="E11" s="41" t="n">
        <v>0</v>
      </c>
      <c r="F11" s="41" t="n">
        <v>339443.8</v>
      </c>
    </row>
    <row r="12" ht="15" customHeight="1" s="192">
      <c r="A12" s="73" t="inlineStr">
        <is>
          <t>115600</t>
        </is>
      </c>
      <c r="B12" s="64" t="inlineStr">
        <is>
          <t>Restricted Cash - Other Reserve</t>
        </is>
      </c>
      <c r="C12" s="41" t="n">
        <v>4735644.53</v>
      </c>
      <c r="D12" s="41" t="n">
        <v>247.46</v>
      </c>
      <c r="E12" s="41" t="n">
        <v>0</v>
      </c>
      <c r="F12" s="41" t="n">
        <v>4735891.99</v>
      </c>
    </row>
    <row r="13" ht="15" customHeight="1" s="192">
      <c r="A13" s="73" t="inlineStr">
        <is>
          <t>131100</t>
        </is>
      </c>
      <c r="B13" s="64" t="inlineStr">
        <is>
          <t>Accounts Receivable - Control</t>
        </is>
      </c>
      <c r="C13" s="41" t="n">
        <v>361138.97</v>
      </c>
      <c r="D13" s="41" t="n">
        <v>0</v>
      </c>
      <c r="E13" s="41" t="n">
        <v>344047.84</v>
      </c>
      <c r="F13" s="41" t="n">
        <v>17091.13</v>
      </c>
    </row>
    <row r="14" ht="15" customHeight="1" s="192">
      <c r="A14" s="73" t="inlineStr">
        <is>
          <t>133100</t>
        </is>
      </c>
      <c r="B14" s="64" t="inlineStr">
        <is>
          <t>Accounts Receivable - Other</t>
        </is>
      </c>
      <c r="C14" s="41" t="n">
        <v>317248.52</v>
      </c>
      <c r="D14" s="41" t="n">
        <v>0</v>
      </c>
      <c r="E14" s="41" t="n">
        <v>317248.52</v>
      </c>
      <c r="F14" s="41" t="n">
        <v>0</v>
      </c>
    </row>
    <row r="15" ht="15" customHeight="1" s="192">
      <c r="A15" s="73" t="inlineStr">
        <is>
          <t>133110</t>
        </is>
      </c>
      <c r="B15" s="64" t="inlineStr">
        <is>
          <t>Accounts Receivable - Tenant Billback</t>
        </is>
      </c>
      <c r="C15" s="41" t="n">
        <v>12275.68</v>
      </c>
      <c r="D15" s="41" t="n">
        <v>4815.45</v>
      </c>
      <c r="E15" s="41" t="n">
        <v>0</v>
      </c>
      <c r="F15" s="41" t="n">
        <v>17091.13</v>
      </c>
    </row>
    <row r="16" ht="15" customHeight="1" s="192">
      <c r="A16" s="73" t="inlineStr">
        <is>
          <t>135110</t>
        </is>
      </c>
      <c r="B16" s="64" t="inlineStr">
        <is>
          <t>Prepaid Insurance</t>
        </is>
      </c>
      <c r="C16" s="41" t="n">
        <v>29924.92</v>
      </c>
      <c r="D16" s="41" t="n">
        <v>0</v>
      </c>
      <c r="E16" s="41" t="n">
        <v>5576.07</v>
      </c>
      <c r="F16" s="41" t="n">
        <v>24348.85</v>
      </c>
    </row>
    <row r="17" ht="15" customHeight="1" s="192">
      <c r="A17" s="73" t="inlineStr">
        <is>
          <t>135120</t>
        </is>
      </c>
      <c r="B17" s="64" t="inlineStr">
        <is>
          <t>Prepaid RE Tax</t>
        </is>
      </c>
      <c r="C17" s="41" t="n">
        <v>0</v>
      </c>
      <c r="D17" s="41" t="n">
        <v>332500.54</v>
      </c>
      <c r="E17" s="41" t="n">
        <v>0</v>
      </c>
      <c r="F17" s="41" t="n">
        <v>332500.54</v>
      </c>
    </row>
    <row r="18" ht="15" customHeight="1" s="192">
      <c r="A18" s="73" t="inlineStr">
        <is>
          <t>135150</t>
        </is>
      </c>
      <c r="B18" s="64" t="inlineStr">
        <is>
          <t>Prepaid Other</t>
        </is>
      </c>
      <c r="C18" s="41" t="n">
        <v>3421.27</v>
      </c>
      <c r="D18" s="41" t="n">
        <v>0</v>
      </c>
      <c r="E18" s="41" t="n">
        <v>1699.63</v>
      </c>
      <c r="F18" s="41" t="n">
        <v>1721.64</v>
      </c>
    </row>
    <row r="19" ht="15" customHeight="1" s="192">
      <c r="A19" s="73" t="inlineStr">
        <is>
          <t>141100</t>
        </is>
      </c>
      <c r="B19" s="64" t="inlineStr">
        <is>
          <t>Due From/(To) Related Parties</t>
        </is>
      </c>
      <c r="C19" s="41" t="n">
        <v>0</v>
      </c>
      <c r="D19" s="41" t="n">
        <v>0</v>
      </c>
      <c r="E19" s="41" t="n">
        <v>0</v>
      </c>
      <c r="F19" s="41" t="n">
        <v>0</v>
      </c>
    </row>
    <row r="20" ht="15" customHeight="1" s="192">
      <c r="A20" s="73" t="inlineStr">
        <is>
          <t>152100</t>
        </is>
      </c>
      <c r="B20" s="64" t="inlineStr">
        <is>
          <t>Land</t>
        </is>
      </c>
      <c r="C20" s="41" t="n">
        <v>29000000</v>
      </c>
      <c r="D20" s="41" t="n">
        <v>0</v>
      </c>
      <c r="E20" s="41" t="n">
        <v>0</v>
      </c>
      <c r="F20" s="41" t="n">
        <v>29000000</v>
      </c>
    </row>
    <row r="21" ht="15" customHeight="1" s="192">
      <c r="A21" s="73" t="inlineStr">
        <is>
          <t>154100</t>
        </is>
      </c>
      <c r="B21" s="64" t="inlineStr">
        <is>
          <t>Building</t>
        </is>
      </c>
      <c r="C21" s="41" t="n">
        <v>78887372.01000001</v>
      </c>
      <c r="D21" s="41" t="n">
        <v>0</v>
      </c>
      <c r="E21" s="41" t="n">
        <v>0</v>
      </c>
      <c r="F21" s="41" t="n">
        <v>78887372.01000001</v>
      </c>
    </row>
    <row r="22" ht="15" customHeight="1" s="192">
      <c r="A22" s="73" t="inlineStr">
        <is>
          <t>154500</t>
        </is>
      </c>
      <c r="B22" s="64" t="inlineStr">
        <is>
          <t>Building Improvements</t>
        </is>
      </c>
      <c r="C22" s="41" t="n">
        <v>96503.10000000001</v>
      </c>
      <c r="D22" s="41" t="n">
        <v>0</v>
      </c>
      <c r="E22" s="41" t="n">
        <v>0</v>
      </c>
      <c r="F22" s="41" t="n">
        <v>96503.10000000001</v>
      </c>
    </row>
    <row r="23" ht="15" customHeight="1" s="192">
      <c r="A23" s="73" t="inlineStr">
        <is>
          <t>181200</t>
        </is>
      </c>
      <c r="B23" s="64" t="inlineStr">
        <is>
          <t>Leasing Commissions</t>
        </is>
      </c>
      <c r="C23" s="41" t="n">
        <v>3619300</v>
      </c>
      <c r="D23" s="41" t="n">
        <v>0</v>
      </c>
      <c r="E23" s="41" t="n">
        <v>0</v>
      </c>
      <c r="F23" s="41" t="n">
        <v>3619300</v>
      </c>
    </row>
    <row r="24" ht="15" customHeight="1" s="192">
      <c r="A24" s="73" t="inlineStr">
        <is>
          <t>181300</t>
        </is>
      </c>
      <c r="B24" s="64" t="inlineStr">
        <is>
          <t>Legal Leasing Costs</t>
        </is>
      </c>
      <c r="C24" s="41" t="n">
        <v>247320.99</v>
      </c>
      <c r="D24" s="41" t="n">
        <v>0</v>
      </c>
      <c r="E24" s="41" t="n">
        <v>0</v>
      </c>
      <c r="F24" s="41" t="n">
        <v>247320.99</v>
      </c>
    </row>
    <row r="25" ht="15" customHeight="1" s="192">
      <c r="A25" s="73" t="inlineStr">
        <is>
          <t>181400</t>
        </is>
      </c>
      <c r="B25" s="64" t="inlineStr">
        <is>
          <t>Tenant Improvements</t>
        </is>
      </c>
      <c r="C25" s="41" t="n">
        <v>36213336.52</v>
      </c>
      <c r="D25" s="41" t="n">
        <v>0</v>
      </c>
      <c r="E25" s="41" t="n">
        <v>0</v>
      </c>
      <c r="F25" s="41" t="n">
        <v>36213336.52</v>
      </c>
    </row>
    <row r="26" ht="15" customHeight="1" s="192">
      <c r="A26" s="73" t="inlineStr">
        <is>
          <t>187100</t>
        </is>
      </c>
      <c r="B26" s="64" t="inlineStr">
        <is>
          <t>Financing Costs</t>
        </is>
      </c>
      <c r="C26" s="41" t="n">
        <v>465020.98</v>
      </c>
      <c r="D26" s="41" t="n">
        <v>0</v>
      </c>
      <c r="E26" s="41" t="n">
        <v>0</v>
      </c>
      <c r="F26" s="41" t="n">
        <v>465020.98</v>
      </c>
    </row>
    <row r="27" ht="15" customHeight="1" s="192">
      <c r="A27" s="73" t="inlineStr">
        <is>
          <t>211100</t>
        </is>
      </c>
      <c r="B27" s="64" t="inlineStr">
        <is>
          <t>Accounts Payable - Control</t>
        </is>
      </c>
      <c r="C27" s="41" t="n">
        <v>801.33</v>
      </c>
      <c r="D27" s="41" t="n">
        <v>4110.74</v>
      </c>
      <c r="E27" s="41" t="n">
        <v>0</v>
      </c>
      <c r="F27" s="41" t="n">
        <v>4912.07</v>
      </c>
    </row>
    <row r="28" ht="15" customHeight="1" s="192">
      <c r="A28" s="73" t="inlineStr">
        <is>
          <t>211300</t>
        </is>
      </c>
      <c r="B28" s="64" t="inlineStr">
        <is>
          <t>Accounts Payable - Other</t>
        </is>
      </c>
      <c r="C28" s="41" t="n">
        <v>-91647.83</v>
      </c>
      <c r="D28" s="41" t="n">
        <v>91647.83</v>
      </c>
      <c r="E28" s="41" t="n">
        <v>0</v>
      </c>
      <c r="F28" s="41" t="n">
        <v>0</v>
      </c>
    </row>
    <row r="29" ht="15" customHeight="1" s="192">
      <c r="A29" s="73" t="inlineStr">
        <is>
          <t>213100</t>
        </is>
      </c>
      <c r="B29" s="64" t="inlineStr">
        <is>
          <t>Accrued Expenses</t>
        </is>
      </c>
      <c r="C29" s="41" t="n">
        <v>-531096.5600000001</v>
      </c>
      <c r="D29" s="41" t="n">
        <v>292702.47</v>
      </c>
      <c r="E29" s="41" t="n">
        <v>0</v>
      </c>
      <c r="F29" s="41" t="n">
        <v>-238394.09</v>
      </c>
    </row>
    <row r="30" ht="15" customHeight="1" s="192">
      <c r="A30" s="73" t="inlineStr">
        <is>
          <t>213200</t>
        </is>
      </c>
      <c r="B30" s="64" t="inlineStr">
        <is>
          <t>Accrued Interest</t>
        </is>
      </c>
      <c r="C30" s="41" t="n">
        <v>-645399.37</v>
      </c>
      <c r="D30" s="41" t="n">
        <v>0</v>
      </c>
      <c r="E30" s="41" t="n">
        <v>0</v>
      </c>
      <c r="F30" s="41" t="n">
        <v>-645399.37</v>
      </c>
    </row>
    <row r="31" ht="15" customHeight="1" s="192">
      <c r="A31" s="73" t="inlineStr">
        <is>
          <t>217200</t>
        </is>
      </c>
      <c r="B31" s="64" t="inlineStr">
        <is>
          <t>Security Deposit - Other</t>
        </is>
      </c>
      <c r="C31" s="41" t="n">
        <v>-1000</v>
      </c>
      <c r="D31" s="41" t="n">
        <v>0</v>
      </c>
      <c r="E31" s="41" t="n">
        <v>0</v>
      </c>
      <c r="F31" s="41" t="n">
        <v>-1000</v>
      </c>
    </row>
    <row r="32" ht="15" customHeight="1" s="192">
      <c r="A32" s="73" t="inlineStr">
        <is>
          <t>221100</t>
        </is>
      </c>
      <c r="B32" s="64" t="inlineStr">
        <is>
          <t>Prepaid Rent - Tenant</t>
        </is>
      </c>
      <c r="C32" s="41" t="n">
        <v>-328546.57</v>
      </c>
      <c r="D32" s="41" t="n">
        <v>34383.86</v>
      </c>
      <c r="E32" s="41" t="n">
        <v>0</v>
      </c>
      <c r="F32" s="41" t="n">
        <v>-294162.71</v>
      </c>
    </row>
    <row r="33" ht="15" customHeight="1" s="192">
      <c r="A33" s="73" t="inlineStr">
        <is>
          <t>231100</t>
        </is>
      </c>
      <c r="B33" s="64" t="inlineStr">
        <is>
          <t>Mortgage Payable</t>
        </is>
      </c>
      <c r="C33" s="41" t="n">
        <v>-92104195.17</v>
      </c>
      <c r="D33" s="41" t="n">
        <v>0</v>
      </c>
      <c r="E33" s="41" t="n">
        <v>0</v>
      </c>
      <c r="F33" s="41" t="n">
        <v>-92104195.17</v>
      </c>
    </row>
    <row r="34" ht="15" customHeight="1" s="192">
      <c r="A34" s="73" t="inlineStr">
        <is>
          <t>311100</t>
        </is>
      </c>
      <c r="B34" s="64" t="inlineStr">
        <is>
          <t>Contributions - Partner A</t>
        </is>
      </c>
      <c r="C34" s="41" t="n">
        <v>-80942266.06</v>
      </c>
      <c r="D34" s="41" t="n">
        <v>0</v>
      </c>
      <c r="E34" s="41" t="n">
        <v>0</v>
      </c>
      <c r="F34" s="41" t="n">
        <v>-80942266.06</v>
      </c>
    </row>
    <row r="35" ht="15" customHeight="1" s="192">
      <c r="A35" s="73" t="inlineStr">
        <is>
          <t>331100</t>
        </is>
      </c>
      <c r="B35" s="64" t="inlineStr">
        <is>
          <t>Distributions - Partner A</t>
        </is>
      </c>
      <c r="C35" s="41" t="n">
        <v>26736731.39</v>
      </c>
      <c r="D35" s="41" t="n">
        <v>0</v>
      </c>
      <c r="E35" s="41" t="n">
        <v>0</v>
      </c>
      <c r="F35" s="41" t="n">
        <v>26736731.39</v>
      </c>
    </row>
    <row r="36" ht="15" customHeight="1" s="192">
      <c r="A36" s="73" t="inlineStr">
        <is>
          <t>381100</t>
        </is>
      </c>
      <c r="B36" s="64" t="inlineStr">
        <is>
          <t>Retained Earnings - Control</t>
        </is>
      </c>
      <c r="C36" s="41" t="n">
        <v>-7933019.47</v>
      </c>
      <c r="D36" s="41" t="n">
        <v>0</v>
      </c>
      <c r="E36" s="41" t="n">
        <v>0</v>
      </c>
      <c r="F36" s="41" t="n">
        <v>-7933019.47</v>
      </c>
    </row>
    <row r="37" ht="15" customHeight="1" s="192">
      <c r="A37" s="73" t="inlineStr">
        <is>
          <t>411150</t>
        </is>
      </c>
      <c r="B37" s="64" t="inlineStr">
        <is>
          <t>Rent - Lab</t>
        </is>
      </c>
      <c r="C37" s="41" t="n">
        <v>0</v>
      </c>
      <c r="D37" s="41" t="n">
        <v>0</v>
      </c>
      <c r="E37" s="41" t="n">
        <v>1006377.6</v>
      </c>
      <c r="F37" s="41" t="n">
        <v>-1006377.6</v>
      </c>
    </row>
    <row r="38" ht="15" customHeight="1" s="192">
      <c r="A38" s="73" t="inlineStr">
        <is>
          <t>440100</t>
        </is>
      </c>
      <c r="B38" s="64" t="inlineStr">
        <is>
          <t>Recovery - Operating Expense</t>
        </is>
      </c>
      <c r="C38" s="41" t="n">
        <v>0</v>
      </c>
      <c r="D38" s="41" t="n">
        <v>65249.52</v>
      </c>
      <c r="E38" s="41" t="n">
        <v>0</v>
      </c>
      <c r="F38" s="41" t="n">
        <v>65249.52</v>
      </c>
    </row>
    <row r="39" ht="15" customHeight="1" s="192">
      <c r="A39" s="73" t="inlineStr">
        <is>
          <t>440200</t>
        </is>
      </c>
      <c r="B39" s="64" t="inlineStr">
        <is>
          <t>Recovery - Real Estate Tax</t>
        </is>
      </c>
      <c r="C39" s="41" t="n">
        <v>0</v>
      </c>
      <c r="D39" s="41" t="n">
        <v>0</v>
      </c>
      <c r="E39" s="41" t="n">
        <v>273978.2</v>
      </c>
      <c r="F39" s="41" t="n">
        <v>-273978.2</v>
      </c>
    </row>
    <row r="40" ht="15" customHeight="1" s="192">
      <c r="A40" s="73" t="inlineStr">
        <is>
          <t>440500</t>
        </is>
      </c>
      <c r="B40" s="64" t="inlineStr">
        <is>
          <t>Recovery - Electricity</t>
        </is>
      </c>
      <c r="C40" s="41" t="n">
        <v>0</v>
      </c>
      <c r="D40" s="41" t="n">
        <v>0</v>
      </c>
      <c r="E40" s="41" t="n">
        <v>19338.11</v>
      </c>
      <c r="F40" s="41" t="n">
        <v>-19338.11</v>
      </c>
    </row>
    <row r="41" ht="15" customHeight="1" s="192">
      <c r="A41" s="73" t="inlineStr">
        <is>
          <t>440700</t>
        </is>
      </c>
      <c r="B41" s="64" t="inlineStr">
        <is>
          <t>Recovery - Misc Utilities</t>
        </is>
      </c>
      <c r="C41" s="41" t="n">
        <v>0</v>
      </c>
      <c r="D41" s="41" t="n">
        <v>0</v>
      </c>
      <c r="E41" s="41" t="n">
        <v>2568.47</v>
      </c>
      <c r="F41" s="41" t="n">
        <v>-2568.47</v>
      </c>
    </row>
    <row r="42" ht="15" customHeight="1" s="192">
      <c r="A42" s="73" t="inlineStr">
        <is>
          <t>485100</t>
        </is>
      </c>
      <c r="B42" s="64" t="inlineStr">
        <is>
          <t>Interest Income</t>
        </is>
      </c>
      <c r="C42" s="41" t="n">
        <v>0</v>
      </c>
      <c r="D42" s="41" t="n">
        <v>0</v>
      </c>
      <c r="E42" s="41" t="n">
        <v>247.46</v>
      </c>
      <c r="F42" s="41" t="n">
        <v>-247.46</v>
      </c>
    </row>
    <row r="43" ht="15" customHeight="1" s="192">
      <c r="A43" s="73" t="inlineStr">
        <is>
          <t>610110</t>
        </is>
      </c>
      <c r="B43" s="64" t="inlineStr">
        <is>
          <t>Cleaning-Contract Svc</t>
        </is>
      </c>
      <c r="C43" s="41" t="n">
        <v>0</v>
      </c>
      <c r="D43" s="41" t="n">
        <v>7578.99</v>
      </c>
      <c r="E43" s="41" t="n">
        <v>0</v>
      </c>
      <c r="F43" s="41" t="n">
        <v>7578.99</v>
      </c>
    </row>
    <row r="44" ht="15" customHeight="1" s="192">
      <c r="A44" s="73" t="inlineStr">
        <is>
          <t>610140</t>
        </is>
      </c>
      <c r="B44" s="64" t="inlineStr">
        <is>
          <t>Cleaning-Mat/Supplies</t>
        </is>
      </c>
      <c r="C44" s="41" t="n">
        <v>0</v>
      </c>
      <c r="D44" s="41" t="n">
        <v>215.42</v>
      </c>
      <c r="E44" s="41" t="n">
        <v>0</v>
      </c>
      <c r="F44" s="41" t="n">
        <v>215.42</v>
      </c>
    </row>
    <row r="45" ht="15" customHeight="1" s="192">
      <c r="A45" s="73" t="inlineStr">
        <is>
          <t>610160</t>
        </is>
      </c>
      <c r="B45" s="64" t="inlineStr">
        <is>
          <t>Cleaning-Trash Removal</t>
        </is>
      </c>
      <c r="C45" s="41" t="n">
        <v>0</v>
      </c>
      <c r="D45" s="41" t="n">
        <v>84.47</v>
      </c>
      <c r="E45" s="41" t="n">
        <v>0</v>
      </c>
      <c r="F45" s="41" t="n">
        <v>84.47</v>
      </c>
    </row>
    <row r="46" ht="15" customHeight="1" s="192">
      <c r="A46" s="73" t="inlineStr">
        <is>
          <t>613110</t>
        </is>
      </c>
      <c r="B46" s="64" t="inlineStr">
        <is>
          <t>Utilities-Electricity</t>
        </is>
      </c>
      <c r="C46" s="41" t="n">
        <v>0</v>
      </c>
      <c r="D46" s="41" t="n">
        <v>69684.72</v>
      </c>
      <c r="E46" s="41" t="n">
        <v>0</v>
      </c>
      <c r="F46" s="41" t="n">
        <v>69684.72</v>
      </c>
    </row>
    <row r="47" ht="15" customHeight="1" s="192">
      <c r="A47" s="73" t="inlineStr">
        <is>
          <t>613115</t>
        </is>
      </c>
      <c r="B47" s="64" t="inlineStr">
        <is>
          <t>Tenant Electric Reimbursement</t>
        </is>
      </c>
      <c r="C47" s="41" t="n">
        <v>0</v>
      </c>
      <c r="D47" s="41" t="n">
        <v>15354.18</v>
      </c>
      <c r="E47" s="41" t="n">
        <v>0</v>
      </c>
      <c r="F47" s="41" t="n">
        <v>15354.18</v>
      </c>
    </row>
    <row r="48" ht="15" customHeight="1" s="192">
      <c r="A48" s="73" t="inlineStr">
        <is>
          <t>613210</t>
        </is>
      </c>
      <c r="B48" s="64" t="inlineStr">
        <is>
          <t>Utilities-Gas</t>
        </is>
      </c>
      <c r="C48" s="41" t="n">
        <v>0</v>
      </c>
      <c r="D48" s="41" t="n">
        <v>32628.3</v>
      </c>
      <c r="E48" s="41" t="n">
        <v>0</v>
      </c>
      <c r="F48" s="41" t="n">
        <v>32628.3</v>
      </c>
    </row>
    <row r="49" ht="15" customHeight="1" s="192">
      <c r="A49" s="73" t="inlineStr">
        <is>
          <t>613310</t>
        </is>
      </c>
      <c r="B49" s="64" t="inlineStr">
        <is>
          <t>Utilities-Water/Sewer</t>
        </is>
      </c>
      <c r="C49" s="41" t="n">
        <v>0</v>
      </c>
      <c r="D49" s="41" t="n">
        <v>0</v>
      </c>
      <c r="E49" s="41" t="n">
        <v>48068.55</v>
      </c>
      <c r="F49" s="41" t="n">
        <v>-48068.55</v>
      </c>
    </row>
    <row r="50" ht="15" customHeight="1" s="192">
      <c r="A50" s="73" t="inlineStr">
        <is>
          <t>615110</t>
        </is>
      </c>
      <c r="B50" s="64" t="inlineStr">
        <is>
          <t>RM-Pay/Wages</t>
        </is>
      </c>
      <c r="C50" s="41" t="n">
        <v>0</v>
      </c>
      <c r="D50" s="41" t="n">
        <v>14076.05</v>
      </c>
      <c r="E50" s="41" t="n">
        <v>0</v>
      </c>
      <c r="F50" s="41" t="n">
        <v>14076.05</v>
      </c>
    </row>
    <row r="51" ht="15" customHeight="1" s="192">
      <c r="A51" s="73" t="inlineStr">
        <is>
          <t>615140</t>
        </is>
      </c>
      <c r="B51" s="64" t="inlineStr">
        <is>
          <t>RM-Uniforms</t>
        </is>
      </c>
      <c r="C51" s="41" t="n">
        <v>0</v>
      </c>
      <c r="D51" s="41" t="n">
        <v>801.62</v>
      </c>
      <c r="E51" s="41" t="n">
        <v>0</v>
      </c>
      <c r="F51" s="41" t="n">
        <v>801.62</v>
      </c>
    </row>
    <row r="52" ht="15" customHeight="1" s="192">
      <c r="A52" s="73" t="inlineStr">
        <is>
          <t>615170</t>
        </is>
      </c>
      <c r="B52" s="64" t="inlineStr">
        <is>
          <t>RM-Materials/Supplies</t>
        </is>
      </c>
      <c r="C52" s="41" t="n">
        <v>0</v>
      </c>
      <c r="D52" s="41" t="n">
        <v>1033.86</v>
      </c>
      <c r="E52" s="41" t="n">
        <v>0</v>
      </c>
      <c r="F52" s="41" t="n">
        <v>1033.86</v>
      </c>
    </row>
    <row r="53" ht="15" customHeight="1" s="192">
      <c r="A53" s="73" t="inlineStr">
        <is>
          <t>615230</t>
        </is>
      </c>
      <c r="B53" s="64" t="inlineStr">
        <is>
          <t>RM-Signage</t>
        </is>
      </c>
      <c r="C53" s="41" t="n">
        <v>0</v>
      </c>
      <c r="D53" s="41" t="n">
        <v>1164.85</v>
      </c>
      <c r="E53" s="41" t="n">
        <v>0</v>
      </c>
      <c r="F53" s="41" t="n">
        <v>1164.85</v>
      </c>
    </row>
    <row r="54" ht="15" customHeight="1" s="192">
      <c r="A54" s="73" t="inlineStr">
        <is>
          <t>615260</t>
        </is>
      </c>
      <c r="B54" s="64" t="inlineStr">
        <is>
          <t>RM-Pest Control</t>
        </is>
      </c>
      <c r="C54" s="41" t="n">
        <v>0</v>
      </c>
      <c r="D54" s="41" t="n">
        <v>360</v>
      </c>
      <c r="E54" s="41" t="n">
        <v>0</v>
      </c>
      <c r="F54" s="41" t="n">
        <v>360</v>
      </c>
    </row>
    <row r="55" ht="15" customHeight="1" s="192">
      <c r="A55" s="73" t="inlineStr">
        <is>
          <t>615320</t>
        </is>
      </c>
      <c r="B55" s="64" t="inlineStr">
        <is>
          <t>RM-Doors/Locks</t>
        </is>
      </c>
      <c r="C55" s="41" t="n">
        <v>0</v>
      </c>
      <c r="D55" s="41" t="n">
        <v>0</v>
      </c>
      <c r="E55" s="41" t="n">
        <v>12.5</v>
      </c>
      <c r="F55" s="41" t="n">
        <v>-12.5</v>
      </c>
    </row>
    <row r="56" ht="15" customHeight="1" s="192">
      <c r="A56" s="73" t="inlineStr">
        <is>
          <t>617110</t>
        </is>
      </c>
      <c r="B56" s="64" t="inlineStr">
        <is>
          <t>HVAC Maint-Contract Svc</t>
        </is>
      </c>
      <c r="C56" s="41" t="n">
        <v>0</v>
      </c>
      <c r="D56" s="41" t="n">
        <v>2610</v>
      </c>
      <c r="E56" s="41" t="n">
        <v>0</v>
      </c>
      <c r="F56" s="41" t="n">
        <v>2610</v>
      </c>
    </row>
    <row r="57" ht="15" customHeight="1" s="192">
      <c r="A57" s="73" t="inlineStr">
        <is>
          <t>617120</t>
        </is>
      </c>
      <c r="B57" s="64" t="inlineStr">
        <is>
          <t>HVAC Maint-Repairs</t>
        </is>
      </c>
      <c r="C57" s="41" t="n">
        <v>0</v>
      </c>
      <c r="D57" s="41" t="n">
        <v>6740</v>
      </c>
      <c r="E57" s="41" t="n">
        <v>0</v>
      </c>
      <c r="F57" s="41" t="n">
        <v>6740</v>
      </c>
    </row>
    <row r="58" ht="15" customHeight="1" s="192">
      <c r="A58" s="73" t="inlineStr">
        <is>
          <t>617140</t>
        </is>
      </c>
      <c r="B58" s="64" t="inlineStr">
        <is>
          <t>HVAC Maint-Water Treatment</t>
        </is>
      </c>
      <c r="C58" s="41" t="n">
        <v>0</v>
      </c>
      <c r="D58" s="41" t="n">
        <v>1193.82</v>
      </c>
      <c r="E58" s="41" t="n">
        <v>0</v>
      </c>
      <c r="F58" s="41" t="n">
        <v>1193.82</v>
      </c>
    </row>
    <row r="59" ht="15" customHeight="1" s="192">
      <c r="A59" s="73" t="inlineStr">
        <is>
          <t>619120</t>
        </is>
      </c>
      <c r="B59" s="64" t="inlineStr">
        <is>
          <t>Plumbing Contract Svc</t>
        </is>
      </c>
      <c r="C59" s="41" t="n">
        <v>0</v>
      </c>
      <c r="D59" s="41" t="n">
        <v>0</v>
      </c>
      <c r="E59" s="41" t="n">
        <v>1690</v>
      </c>
      <c r="F59" s="41" t="n">
        <v>-1690</v>
      </c>
    </row>
    <row r="60" ht="15" customHeight="1" s="192">
      <c r="A60" s="73" t="inlineStr">
        <is>
          <t>619130</t>
        </is>
      </c>
      <c r="B60" s="64" t="inlineStr">
        <is>
          <t>Plumbing Repairs</t>
        </is>
      </c>
      <c r="C60" s="41" t="n">
        <v>0</v>
      </c>
      <c r="D60" s="41" t="n">
        <v>1575</v>
      </c>
      <c r="E60" s="41" t="n">
        <v>0</v>
      </c>
      <c r="F60" s="41" t="n">
        <v>1575</v>
      </c>
    </row>
    <row r="61" ht="15" customHeight="1" s="192">
      <c r="A61" s="73" t="inlineStr">
        <is>
          <t>627130</t>
        </is>
      </c>
      <c r="B61" s="64" t="inlineStr">
        <is>
          <t>Security-Contract Svc</t>
        </is>
      </c>
      <c r="C61" s="41" t="n">
        <v>0</v>
      </c>
      <c r="D61" s="41" t="n">
        <v>10225.79</v>
      </c>
      <c r="E61" s="41" t="n">
        <v>0</v>
      </c>
      <c r="F61" s="41" t="n">
        <v>10225.79</v>
      </c>
    </row>
    <row r="62" ht="15" customHeight="1" s="192">
      <c r="A62" s="73" t="inlineStr">
        <is>
          <t>627170</t>
        </is>
      </c>
      <c r="B62" s="64" t="inlineStr">
        <is>
          <t>Security-Repairs</t>
        </is>
      </c>
      <c r="C62" s="41" t="n">
        <v>0</v>
      </c>
      <c r="D62" s="41" t="n">
        <v>0</v>
      </c>
      <c r="E62" s="41" t="n">
        <v>0</v>
      </c>
      <c r="F62" s="41" t="n">
        <v>0</v>
      </c>
    </row>
    <row r="63" ht="15" customHeight="1" s="192">
      <c r="A63" s="73" t="inlineStr">
        <is>
          <t>627230</t>
        </is>
      </c>
      <c r="B63" s="64" t="inlineStr">
        <is>
          <t>Fire/Life-Contract Svc Fire System</t>
        </is>
      </c>
      <c r="C63" s="41" t="n">
        <v>0</v>
      </c>
      <c r="D63" s="41" t="n">
        <v>4000.47</v>
      </c>
      <c r="E63" s="41" t="n">
        <v>0</v>
      </c>
      <c r="F63" s="41" t="n">
        <v>4000.47</v>
      </c>
    </row>
    <row r="64" ht="15" customHeight="1" s="192">
      <c r="A64" s="73" t="inlineStr">
        <is>
          <t>631120</t>
        </is>
      </c>
      <c r="B64" s="64" t="inlineStr">
        <is>
          <t>Elevator-Repairs</t>
        </is>
      </c>
      <c r="C64" s="41" t="n">
        <v>0</v>
      </c>
      <c r="D64" s="41" t="n">
        <v>1508.05</v>
      </c>
      <c r="E64" s="41" t="n">
        <v>0</v>
      </c>
      <c r="F64" s="41" t="n">
        <v>1508.05</v>
      </c>
    </row>
    <row r="65" ht="15" customHeight="1" s="192">
      <c r="A65" s="73" t="inlineStr">
        <is>
          <t>633120</t>
        </is>
      </c>
      <c r="B65" s="64" t="inlineStr">
        <is>
          <t>Landscaping Interior-Contract Svc</t>
        </is>
      </c>
      <c r="C65" s="41" t="n">
        <v>0</v>
      </c>
      <c r="D65" s="41" t="n">
        <v>220.5</v>
      </c>
      <c r="E65" s="41" t="n">
        <v>0</v>
      </c>
      <c r="F65" s="41" t="n">
        <v>220.5</v>
      </c>
    </row>
    <row r="66" ht="15" customHeight="1" s="192">
      <c r="A66" s="73" t="inlineStr">
        <is>
          <t>635110</t>
        </is>
      </c>
      <c r="B66" s="64" t="inlineStr">
        <is>
          <t>Snow &amp; Ice Removal</t>
        </is>
      </c>
      <c r="C66" s="41" t="n">
        <v>0</v>
      </c>
      <c r="D66" s="41" t="n">
        <v>20269</v>
      </c>
      <c r="E66" s="41" t="n">
        <v>0</v>
      </c>
      <c r="F66" s="41" t="n">
        <v>20269</v>
      </c>
    </row>
    <row r="67" ht="15" customHeight="1" s="192">
      <c r="A67" s="73" t="inlineStr">
        <is>
          <t>637110</t>
        </is>
      </c>
      <c r="B67" s="64" t="inlineStr">
        <is>
          <t>Admin-Pay/Wages</t>
        </is>
      </c>
      <c r="C67" s="41" t="n">
        <v>0</v>
      </c>
      <c r="D67" s="41" t="n">
        <v>0</v>
      </c>
      <c r="E67" s="41" t="n">
        <v>71239.44</v>
      </c>
      <c r="F67" s="41" t="n">
        <v>-71239.44</v>
      </c>
    </row>
    <row r="68" ht="15" customHeight="1" s="192">
      <c r="A68" s="73" t="inlineStr">
        <is>
          <t>637130</t>
        </is>
      </c>
      <c r="B68" s="64" t="inlineStr">
        <is>
          <t>Admin-Management Fees</t>
        </is>
      </c>
      <c r="C68" s="41" t="n">
        <v>0</v>
      </c>
      <c r="D68" s="41" t="n">
        <v>44198.98</v>
      </c>
      <c r="E68" s="41" t="n">
        <v>0</v>
      </c>
      <c r="F68" s="41" t="n">
        <v>44198.98</v>
      </c>
    </row>
    <row r="69" ht="15" customHeight="1" s="192">
      <c r="A69" s="73" t="inlineStr">
        <is>
          <t>637150</t>
        </is>
      </c>
      <c r="B69" s="64" t="inlineStr">
        <is>
          <t>Admin-Tenant Relations</t>
        </is>
      </c>
      <c r="C69" s="41" t="n">
        <v>0</v>
      </c>
      <c r="D69" s="41" t="n">
        <v>0</v>
      </c>
      <c r="E69" s="41" t="n">
        <v>45413.51</v>
      </c>
      <c r="F69" s="41" t="n">
        <v>-45413.51</v>
      </c>
    </row>
    <row r="70" ht="15" customHeight="1" s="192">
      <c r="A70" s="73" t="inlineStr">
        <is>
          <t>637170</t>
        </is>
      </c>
      <c r="B70" s="64" t="inlineStr">
        <is>
          <t>Admin-Food Service Amenities</t>
        </is>
      </c>
      <c r="C70" s="41" t="n">
        <v>0</v>
      </c>
      <c r="D70" s="41" t="n">
        <v>0</v>
      </c>
      <c r="E70" s="41" t="n">
        <v>30000</v>
      </c>
      <c r="F70" s="41" t="n">
        <v>-30000</v>
      </c>
    </row>
    <row r="71" ht="15" customHeight="1" s="192">
      <c r="A71" s="73" t="inlineStr">
        <is>
          <t>637190</t>
        </is>
      </c>
      <c r="B71" s="64" t="inlineStr">
        <is>
          <t>Admin-Fitness Amenities</t>
        </is>
      </c>
      <c r="C71" s="41" t="n">
        <v>0</v>
      </c>
      <c r="D71" s="41" t="n">
        <v>926.5599999999999</v>
      </c>
      <c r="E71" s="41" t="n">
        <v>0</v>
      </c>
      <c r="F71" s="41" t="n">
        <v>926.5599999999999</v>
      </c>
    </row>
    <row r="72" ht="15" customHeight="1" s="192">
      <c r="A72" s="73" t="inlineStr">
        <is>
          <t>637230</t>
        </is>
      </c>
      <c r="B72" s="64" t="inlineStr">
        <is>
          <t>Admin-Materials/Supplies</t>
        </is>
      </c>
      <c r="C72" s="41" t="n">
        <v>0</v>
      </c>
      <c r="D72" s="41" t="n">
        <v>281.25</v>
      </c>
      <c r="E72" s="41" t="n">
        <v>0</v>
      </c>
      <c r="F72" s="41" t="n">
        <v>281.25</v>
      </c>
    </row>
    <row r="73" ht="15" customHeight="1" s="192">
      <c r="A73" s="73" t="inlineStr">
        <is>
          <t>637270</t>
        </is>
      </c>
      <c r="B73" s="64" t="inlineStr">
        <is>
          <t>Admin-Bank Charges</t>
        </is>
      </c>
      <c r="C73" s="41" t="n">
        <v>0</v>
      </c>
      <c r="D73" s="41" t="n">
        <v>625</v>
      </c>
      <c r="E73" s="41" t="n">
        <v>0</v>
      </c>
      <c r="F73" s="41" t="n">
        <v>625</v>
      </c>
    </row>
    <row r="74" ht="15" customHeight="1" s="192">
      <c r="A74" s="73" t="inlineStr">
        <is>
          <t>637290</t>
        </is>
      </c>
      <c r="B74" s="64" t="inlineStr">
        <is>
          <t>Admin-Telephone</t>
        </is>
      </c>
      <c r="C74" s="41" t="n">
        <v>0</v>
      </c>
      <c r="D74" s="41" t="n">
        <v>1999.76</v>
      </c>
      <c r="E74" s="41" t="n">
        <v>0</v>
      </c>
      <c r="F74" s="41" t="n">
        <v>1999.76</v>
      </c>
    </row>
    <row r="75" ht="15" customHeight="1" s="192">
      <c r="A75" s="73" t="inlineStr">
        <is>
          <t>637330</t>
        </is>
      </c>
      <c r="B75" s="64" t="inlineStr">
        <is>
          <t>Admin-Dues/Subscriptions</t>
        </is>
      </c>
      <c r="C75" s="41" t="n">
        <v>0</v>
      </c>
      <c r="D75" s="41" t="n">
        <v>51.6</v>
      </c>
      <c r="E75" s="41" t="n">
        <v>0</v>
      </c>
      <c r="F75" s="41" t="n">
        <v>51.6</v>
      </c>
    </row>
    <row r="76" ht="15" customHeight="1" s="192">
      <c r="A76" s="73" t="inlineStr">
        <is>
          <t>637350</t>
        </is>
      </c>
      <c r="B76" s="64" t="inlineStr">
        <is>
          <t>Admin-Travel</t>
        </is>
      </c>
      <c r="C76" s="41" t="n">
        <v>0</v>
      </c>
      <c r="D76" s="41" t="n">
        <v>489.02</v>
      </c>
      <c r="E76" s="41" t="n">
        <v>0</v>
      </c>
      <c r="F76" s="41" t="n">
        <v>489.02</v>
      </c>
    </row>
    <row r="77" ht="15" customHeight="1" s="192">
      <c r="A77" s="73" t="inlineStr">
        <is>
          <t>637370</t>
        </is>
      </c>
      <c r="B77" s="64" t="inlineStr">
        <is>
          <t>Admin-Computer/Software</t>
        </is>
      </c>
      <c r="C77" s="41" t="n">
        <v>0</v>
      </c>
      <c r="D77" s="41" t="n">
        <v>7273.92</v>
      </c>
      <c r="E77" s="41" t="n">
        <v>0</v>
      </c>
      <c r="F77" s="41" t="n">
        <v>7273.92</v>
      </c>
    </row>
    <row r="78" ht="15" customHeight="1" s="192">
      <c r="A78" s="73" t="inlineStr">
        <is>
          <t>639110</t>
        </is>
      </c>
      <c r="B78" s="64" t="inlineStr">
        <is>
          <t>Insurance-Property</t>
        </is>
      </c>
      <c r="C78" s="41" t="n">
        <v>0</v>
      </c>
      <c r="D78" s="41" t="n">
        <v>4037.78</v>
      </c>
      <c r="E78" s="41" t="n">
        <v>0</v>
      </c>
      <c r="F78" s="41" t="n">
        <v>4037.78</v>
      </c>
    </row>
    <row r="79" ht="15" customHeight="1" s="192">
      <c r="A79" s="73" t="inlineStr">
        <is>
          <t>639120</t>
        </is>
      </c>
      <c r="B79" s="64" t="inlineStr">
        <is>
          <t>Insurance-General Liability</t>
        </is>
      </c>
      <c r="C79" s="41" t="n">
        <v>0</v>
      </c>
      <c r="D79" s="41" t="n">
        <v>1538.29</v>
      </c>
      <c r="E79" s="41" t="n">
        <v>0</v>
      </c>
      <c r="F79" s="41" t="n">
        <v>1538.29</v>
      </c>
    </row>
    <row r="80" ht="15" customHeight="1" s="192">
      <c r="A80" s="73" t="inlineStr">
        <is>
          <t>641110</t>
        </is>
      </c>
      <c r="B80" s="64" t="inlineStr">
        <is>
          <t>Real Estate Taxes</t>
        </is>
      </c>
      <c r="C80" s="41" t="n">
        <v>0</v>
      </c>
      <c r="D80" s="41" t="n">
        <v>166250.27</v>
      </c>
      <c r="E80" s="41" t="n">
        <v>0</v>
      </c>
      <c r="F80" s="41" t="n">
        <v>166250.27</v>
      </c>
    </row>
    <row r="81" ht="15" customHeight="1" s="192">
      <c r="A81" s="73" t="inlineStr">
        <is>
          <t>680110</t>
        </is>
      </c>
      <c r="B81" s="64" t="inlineStr">
        <is>
          <t>NR-Prof Fees-Legal</t>
        </is>
      </c>
      <c r="C81" s="41" t="n">
        <v>0</v>
      </c>
      <c r="D81" s="41" t="n">
        <v>427.53</v>
      </c>
      <c r="E81" s="41" t="n">
        <v>0</v>
      </c>
      <c r="F81" s="41" t="n">
        <v>427.53</v>
      </c>
    </row>
    <row r="82" ht="15" customHeight="1" s="192">
      <c r="A82" s="73" t="inlineStr">
        <is>
          <t>680510</t>
        </is>
      </c>
      <c r="B82" s="64" t="inlineStr">
        <is>
          <t>NR-Marketing &amp; PR</t>
        </is>
      </c>
      <c r="C82" s="41" t="n">
        <v>0</v>
      </c>
      <c r="D82" s="41" t="n">
        <v>0</v>
      </c>
      <c r="E82" s="41" t="n">
        <v>635.02</v>
      </c>
      <c r="F82" s="41" t="n">
        <v>-635.02</v>
      </c>
    </row>
    <row r="83" ht="15" customHeight="1" s="192">
      <c r="A83" s="73" t="inlineStr">
        <is>
          <t>725340</t>
        </is>
      </c>
      <c r="B83" s="64" t="inlineStr">
        <is>
          <t>Bank Charges</t>
        </is>
      </c>
      <c r="C83" s="41" t="n">
        <v>0</v>
      </c>
      <c r="D83" s="41" t="n">
        <v>3432.45</v>
      </c>
      <c r="E83" s="41" t="n">
        <v>0</v>
      </c>
      <c r="F83" s="41" t="n">
        <v>3432.45</v>
      </c>
    </row>
    <row r="84" ht="15" customHeight="1" s="192">
      <c r="A84" s="73" t="inlineStr">
        <is>
          <t>801110</t>
        </is>
      </c>
      <c r="B84" s="68" t="inlineStr">
        <is>
          <t>Interest Expense</t>
        </is>
      </c>
      <c r="C84" s="44" t="n">
        <v>0</v>
      </c>
      <c r="D84" s="44" t="n">
        <v>645399.37</v>
      </c>
      <c r="E84" s="44" t="n">
        <v>0</v>
      </c>
      <c r="F84" s="44" t="n">
        <v>645399.37</v>
      </c>
    </row>
    <row r="85" ht="15" customHeight="1" s="192">
      <c r="A85" s="73" t="n"/>
      <c r="B85" s="76" t="inlineStr">
        <is>
          <t>Total</t>
        </is>
      </c>
      <c r="C85" s="46" t="n">
        <v>0</v>
      </c>
      <c r="D85" s="46" t="n">
        <v>2463596.54</v>
      </c>
      <c r="E85" s="46" t="n">
        <v>2463596.54</v>
      </c>
      <c r="F85" s="46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2026-05-12T14:43:41Z</dcterms:created>
  <dcterms:modified xmlns:dcterms="http://purl.org/dc/terms/" xmlns:xsi="http://www.w3.org/2001/XMLSchema-instance" xsi:type="dcterms:W3CDTF">2026-08-03T20:04:18Z</dcterms:modified>
  <cp:lastModifiedBy>Ryan C. Walsh</cp:lastModifiedBy>
</cp:coreProperties>
</file>